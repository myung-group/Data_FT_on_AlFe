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<sst xmlns="http://schemas.openxmlformats.org/spreadsheetml/2006/main" count="27" uniqueCount="27">
  <si>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Symbols</t>
  </si>
  <si>
    <t xml:space="preserve">ZPE</t>
  </si>
  <si>
    <t xml:space="preserve">TS</t>
  </si>
  <si>
    <t xml:space="preserve">Cp</t>
  </si>
  <si>
    <t xml:space="preserve">G-E</t>
  </si>
  <si>
    <t xml:space="preserve">G</t>
  </si>
  <si>
    <t xml:space="preserve">E(DFT)</t>
  </si>
  <si>
    <t xml:space="preserve">*COH</t>
  </si>
  <si>
    <t xml:space="preserve">*CO</t>
  </si>
  <si>
    <t xml:space="preserve">*CHO</t>
  </si>
  <si>
    <t xml:space="preserve">CH2*O</t>
  </si>
  <si>
    <t xml:space="preserve">CH3*O</t>
  </si>
  <si>
    <t xml:space="preserve">*CHOH</t>
  </si>
  <si>
    <t xml:space="preserve">*CH2OH</t>
  </si>
  <si>
    <t xml:space="preserve">*CH</t>
  </si>
  <si>
    <t xml:space="preserve">*CH2</t>
  </si>
  <si>
    <t xml:space="preserve">*CH3</t>
  </si>
  <si>
    <t xml:space="preserve">*O</t>
  </si>
  <si>
    <t xml:space="preserve">*OH</t>
  </si>
  <si>
    <t xml:space="preserve">*C</t>
  </si>
  <si>
    <t xml:space="preserve">H2O</t>
  </si>
  <si>
    <t xml:space="preserve">H2</t>
  </si>
  <si>
    <t xml:space="preserve">H</t>
  </si>
  <si>
    <t xml:space="preserve">: 1/2 H2(g)</t>
  </si>
  <si>
    <t xml:space="preserve">*</t>
  </si>
  <si>
    <t xml:space="preserve">CO</t>
  </si>
  <si>
    <t xml:space="preserve">CH4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</si>
</sst>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_ "/>
    <numFmt numFmtId="166" formatCode="0.00000"/>
  </numFmts>
  <fonts count="9">
    <font>
      <sz val="11"/>
      <color rgb="FF000000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C9211E"/>
      <name val="Noto Sans CJK KR"/>
      <family val="2"/>
      <charset val="1"/>
    </font>
    <font>
      <sz val="12"/>
      <color rgb="FF000000"/>
      <name val="Noto Sans CJK KR"/>
      <family val="2"/>
      <charset val="1"/>
    </font>
    <font>
      <sz val="11"/>
      <color rgb="FF000000"/>
      <name val="맑은 고딕"/>
      <family val="3"/>
      <charset val="129"/>
    </font>
    <font>
      <sz val="12"/>
      <name val="Noto Sans CJK KR"/>
      <family val="2"/>
      <charset val="1"/>
    </font>
    <font>
      <sz val="10"/>
      <name val="Noto Sans CJK KR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15" activeCellId="0" sqref="G15"/>
    </sheetView>
  </sheetViews>
  <sheetFormatPr defaultColWidth="8.45703125" defaultRowHeight="17.25" zeroHeight="false" outlineLevelRow="0" outlineLevelCol="0"/>
  <cols>
    <col collapsed="false" customWidth="true" hidden="false" outlineLevel="0" max="6" min="1" style="1" width="12.7"/>
    <col collapsed="false" customWidth="true" hidden="false" outlineLevel="0" max="7" min="7" style="1" width="12.9"/>
    <col collapsed="false" customWidth="true" hidden="false" outlineLevel="0" max="8" min="8" style="1" width="12.2"/>
    <col collapsed="false" customWidth="true" hidden="false" outlineLevel="0" max="9" min="9" style="1" width="22.29"/>
  </cols>
  <sheetData>
    <row r="1" customFormat="false" ht="17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8.2" hidden="false" customHeight="false" outlineLevel="0" collapsed="false">
      <c r="A2" s="2" t="s">
        <v>7</v>
      </c>
      <c r="B2" s="3" t="n">
        <v>0.57404</v>
      </c>
      <c r="C2" s="3" t="n">
        <v>0.4544</v>
      </c>
      <c r="D2" s="3" t="n">
        <v>0.24929</v>
      </c>
      <c r="E2" s="4" t="n">
        <f aca="false">F2-G2</f>
        <v>0.368929999999978</v>
      </c>
      <c r="F2" s="5" t="n">
        <f aca="false">G2+B2-C2+D2</f>
        <v>-309.04457</v>
      </c>
      <c r="G2" s="6" t="n">
        <v>-309.4135</v>
      </c>
    </row>
    <row r="3" customFormat="false" ht="17.25" hidden="false" customHeight="false" outlineLevel="0" collapsed="false">
      <c r="A3" s="1" t="s">
        <v>8</v>
      </c>
      <c r="B3" s="7" t="n">
        <v>0.20665</v>
      </c>
      <c r="C3" s="7" t="n">
        <v>0.35802</v>
      </c>
      <c r="D3" s="7" t="n">
        <v>0.16178</v>
      </c>
      <c r="E3" s="4" t="n">
        <f aca="false">F3-G3</f>
        <v>0.0104100000000358</v>
      </c>
      <c r="F3" s="5" t="n">
        <f aca="false">G3+B3-C3+D3</f>
        <v>-306.05505</v>
      </c>
      <c r="G3" s="8" t="n">
        <v>-306.06546</v>
      </c>
    </row>
    <row r="4" customFormat="false" ht="17.25" hidden="false" customHeight="false" outlineLevel="0" collapsed="false">
      <c r="A4" s="1" t="s">
        <v>9</v>
      </c>
      <c r="B4" s="3" t="n">
        <v>0.57304</v>
      </c>
      <c r="C4" s="3" t="n">
        <v>0.41639</v>
      </c>
      <c r="D4" s="3" t="n">
        <v>0.23192</v>
      </c>
      <c r="E4" s="4" t="n">
        <f aca="false">F4-G4</f>
        <v>0.388570000000016</v>
      </c>
      <c r="F4" s="5" t="n">
        <f aca="false">G4+B4-C4+D4</f>
        <v>-309.98745</v>
      </c>
      <c r="G4" s="6" t="n">
        <v>-310.37602</v>
      </c>
    </row>
    <row r="5" customFormat="false" ht="17.25" hidden="false" customHeight="false" outlineLevel="0" collapsed="false">
      <c r="A5" s="1" t="s">
        <v>10</v>
      </c>
      <c r="B5" s="9" t="n">
        <v>0.90779</v>
      </c>
      <c r="C5" s="9" t="n">
        <v>0.40514</v>
      </c>
      <c r="D5" s="9" t="n">
        <v>0.23164</v>
      </c>
      <c r="E5" s="4" t="n">
        <f aca="false">F5-G5</f>
        <v>0.734289999999987</v>
      </c>
      <c r="F5" s="5" t="n">
        <f aca="false">G5+B5-C5+D5</f>
        <v>-314.17154</v>
      </c>
      <c r="G5" s="6" t="n">
        <v>-314.90583</v>
      </c>
    </row>
    <row r="6" customFormat="false" ht="17.25" hidden="false" customHeight="false" outlineLevel="0" collapsed="false">
      <c r="A6" s="1" t="s">
        <v>11</v>
      </c>
      <c r="B6" s="3" t="n">
        <v>1.12403</v>
      </c>
      <c r="C6" s="3" t="n">
        <v>0.41723</v>
      </c>
      <c r="D6" s="3" t="n">
        <v>0.1927</v>
      </c>
      <c r="E6" s="4" t="n">
        <f aca="false">F6-G6</f>
        <v>0.899499999999989</v>
      </c>
      <c r="F6" s="5" t="n">
        <f aca="false">G6+B6-C6+D6</f>
        <v>-317.86505</v>
      </c>
      <c r="G6" s="6" t="n">
        <v>-318.76455</v>
      </c>
    </row>
    <row r="7" customFormat="false" ht="17.25" hidden="false" customHeight="false" outlineLevel="0" collapsed="false">
      <c r="A7" s="1" t="s">
        <v>12</v>
      </c>
      <c r="B7" s="3" t="n">
        <v>0.88362</v>
      </c>
      <c r="C7" s="3" t="n">
        <v>0.41597</v>
      </c>
      <c r="D7" s="3" t="n">
        <v>0.2379</v>
      </c>
      <c r="E7" s="4" t="n">
        <f aca="false">F7-G7</f>
        <v>0.705550000000017</v>
      </c>
      <c r="F7" s="5" t="n">
        <f aca="false">G7+B7-C7+D7</f>
        <v>-312.86106</v>
      </c>
      <c r="G7" s="6" t="n">
        <v>-313.56661</v>
      </c>
    </row>
    <row r="8" customFormat="false" ht="17.25" hidden="false" customHeight="false" outlineLevel="0" collapsed="false">
      <c r="A8" s="1" t="s">
        <v>13</v>
      </c>
      <c r="B8" s="3" t="n">
        <v>1.15312</v>
      </c>
      <c r="C8" s="3" t="n">
        <v>0.39918</v>
      </c>
      <c r="D8" s="3" t="n">
        <v>0.21948</v>
      </c>
      <c r="E8" s="4" t="n">
        <f aca="false">F8-G8</f>
        <v>0.973419999999976</v>
      </c>
      <c r="F8" s="5" t="n">
        <f aca="false">G8+B8-C8+D8</f>
        <v>-316.6664</v>
      </c>
      <c r="G8" s="6" t="n">
        <v>-317.63982</v>
      </c>
    </row>
    <row r="9" customFormat="false" ht="17.25" hidden="false" customHeight="false" outlineLevel="0" collapsed="false">
      <c r="A9" s="1" t="s">
        <v>14</v>
      </c>
      <c r="B9" s="7" t="n">
        <v>0.47109</v>
      </c>
      <c r="C9" s="7" t="n">
        <v>0.34644</v>
      </c>
      <c r="D9" s="7" t="n">
        <v>0.19823</v>
      </c>
      <c r="E9" s="4" t="n">
        <f aca="false">F9-G9</f>
        <v>0.322880000000055</v>
      </c>
      <c r="F9" s="5" t="n">
        <f aca="false">G9+B9-C9+D9</f>
        <v>-304.7893</v>
      </c>
      <c r="G9" s="10" t="n">
        <v>-305.11218</v>
      </c>
    </row>
    <row r="10" customFormat="false" ht="17.25" hidden="false" customHeight="false" outlineLevel="0" collapsed="false">
      <c r="A10" s="1" t="s">
        <v>15</v>
      </c>
      <c r="B10" s="7" t="n">
        <v>0.70634</v>
      </c>
      <c r="C10" s="7" t="n">
        <v>0.2975</v>
      </c>
      <c r="D10" s="7" t="n">
        <v>0.1703</v>
      </c>
      <c r="E10" s="4" t="n">
        <f aca="false">F10-G10</f>
        <v>0.579139999999995</v>
      </c>
      <c r="F10" s="5" t="n">
        <f aca="false">G10+B10-C10+D10</f>
        <v>-308.06977</v>
      </c>
      <c r="G10" s="6" t="n">
        <v>-308.64891</v>
      </c>
    </row>
    <row r="11" customFormat="false" ht="17.25" hidden="false" customHeight="false" outlineLevel="0" collapsed="false">
      <c r="A11" s="1" t="s">
        <v>16</v>
      </c>
      <c r="B11" s="7" t="n">
        <v>0.9623</v>
      </c>
      <c r="C11" s="7" t="n">
        <v>0.31821</v>
      </c>
      <c r="D11" s="7" t="n">
        <v>0.15987</v>
      </c>
      <c r="E11" s="4" t="n">
        <f aca="false">F11-G11</f>
        <v>0.803960000000018</v>
      </c>
      <c r="F11" s="5" t="n">
        <f aca="false">G11+B11-C11+D11</f>
        <v>-312.03299</v>
      </c>
      <c r="G11" s="6" t="n">
        <v>-312.83695</v>
      </c>
    </row>
    <row r="12" customFormat="false" ht="17.25" hidden="false" customHeight="false" outlineLevel="0" collapsed="false">
      <c r="A12" s="1" t="s">
        <v>17</v>
      </c>
      <c r="B12" s="7" t="n">
        <v>0.18991</v>
      </c>
      <c r="C12" s="7" t="n">
        <v>0.33206</v>
      </c>
      <c r="D12" s="7" t="n">
        <v>0.19185</v>
      </c>
      <c r="E12" s="4" t="n">
        <f aca="false">F12-G12</f>
        <v>0.049699999999973</v>
      </c>
      <c r="F12" s="5" t="n">
        <f aca="false">G12+B12-C12+D12</f>
        <v>-301.31384</v>
      </c>
      <c r="G12" s="10" t="n">
        <v>-301.36354</v>
      </c>
    </row>
    <row r="13" customFormat="false" ht="17.25" hidden="false" customHeight="false" outlineLevel="0" collapsed="false">
      <c r="A13" s="1" t="s">
        <v>18</v>
      </c>
      <c r="B13" s="7" t="n">
        <v>0.35686</v>
      </c>
      <c r="C13" s="7" t="n">
        <v>0.30991</v>
      </c>
      <c r="D13" s="7" t="n">
        <v>0.15297</v>
      </c>
      <c r="E13" s="4" t="n">
        <f aca="false">F13-G13</f>
        <v>0.199919999999963</v>
      </c>
      <c r="F13" s="5" t="n">
        <f aca="false">G13+B13-C13+D13</f>
        <v>-303.52424</v>
      </c>
      <c r="G13" s="10" t="n">
        <v>-303.72416</v>
      </c>
    </row>
    <row r="14" customFormat="false" ht="18.2" hidden="false" customHeight="false" outlineLevel="0" collapsed="false">
      <c r="A14" s="2" t="s">
        <v>19</v>
      </c>
      <c r="B14" s="3" t="n">
        <v>0.25492</v>
      </c>
      <c r="C14" s="3" t="n">
        <v>0.40607</v>
      </c>
      <c r="D14" s="3" t="n">
        <v>0.23015</v>
      </c>
      <c r="E14" s="4" t="n">
        <f aca="false">F14-G14</f>
        <v>0.0790000000000077</v>
      </c>
      <c r="F14" s="5" t="n">
        <f aca="false">G14+B14-C14+D14</f>
        <v>-300.60484</v>
      </c>
      <c r="G14" s="6" t="n">
        <v>-300.68384</v>
      </c>
    </row>
    <row r="15" customFormat="false" ht="18.2" hidden="false" customHeight="false" outlineLevel="0" collapsed="false">
      <c r="A15" s="2"/>
      <c r="B15" s="3"/>
      <c r="C15" s="3"/>
      <c r="D15" s="3"/>
      <c r="E15" s="4"/>
      <c r="F15" s="5"/>
      <c r="G15" s="6"/>
    </row>
    <row r="16" customFormat="false" ht="17.25" hidden="false" customHeight="false" outlineLevel="0" collapsed="false">
      <c r="A16" s="2"/>
      <c r="B16" s="3"/>
      <c r="C16" s="3"/>
      <c r="D16" s="3"/>
      <c r="E16" s="4"/>
      <c r="F16" s="5"/>
      <c r="G16" s="6"/>
    </row>
    <row r="17" customFormat="false" ht="17.25" hidden="false" customHeight="false" outlineLevel="0" collapsed="false">
      <c r="A17" s="2"/>
      <c r="B17" s="3"/>
      <c r="C17" s="3"/>
      <c r="D17" s="3"/>
      <c r="E17" s="4"/>
      <c r="F17" s="5"/>
      <c r="G17" s="6"/>
    </row>
    <row r="19" customFormat="false" ht="17.25" hidden="false" customHeight="false" outlineLevel="0" collapsed="false">
      <c r="A19" s="1" t="s">
        <v>20</v>
      </c>
      <c r="B19" s="7" t="n">
        <v>0.57647</v>
      </c>
      <c r="C19" s="7" t="n">
        <v>0.5832</v>
      </c>
      <c r="D19" s="7" t="n">
        <v>0.10285</v>
      </c>
      <c r="E19" s="4" t="n">
        <f aca="false">F19-G19</f>
        <v>0.0961200000000009</v>
      </c>
      <c r="F19" s="5" t="n">
        <f aca="false">G19+B19-C19+D19</f>
        <v>-12.716362</v>
      </c>
      <c r="G19" s="10" t="n">
        <v>-12.812482</v>
      </c>
    </row>
    <row r="20" customFormat="false" ht="17.25" hidden="false" customHeight="false" outlineLevel="0" collapsed="false">
      <c r="A20" s="1" t="s">
        <v>21</v>
      </c>
      <c r="B20" s="7" t="n">
        <v>0.27754</v>
      </c>
      <c r="C20" s="7" t="n">
        <v>0.41985</v>
      </c>
      <c r="D20" s="7" t="n">
        <v>0.08992</v>
      </c>
      <c r="E20" s="4" t="n">
        <f aca="false">F20-G20</f>
        <v>-0.0523899999999999</v>
      </c>
      <c r="F20" s="5" t="n">
        <f aca="false">G20+B20-C20+D20</f>
        <v>-7.2050261</v>
      </c>
      <c r="G20" s="10" t="n">
        <v>-7.1526361</v>
      </c>
    </row>
    <row r="21" customFormat="false" ht="17.25" hidden="false" customHeight="false" outlineLevel="0" collapsed="false">
      <c r="A21" s="1" t="s">
        <v>22</v>
      </c>
      <c r="F21" s="5" t="n">
        <f aca="false">F20/2</f>
        <v>-3.60251305</v>
      </c>
      <c r="G21" s="1" t="n">
        <f aca="false">G20/2</f>
        <v>-3.57631805</v>
      </c>
      <c r="H21" s="1" t="s">
        <v>23</v>
      </c>
    </row>
    <row r="22" customFormat="false" ht="17.25" hidden="false" customHeight="false" outlineLevel="0" collapsed="false">
      <c r="A22" s="1" t="s">
        <v>24</v>
      </c>
      <c r="B22" s="11" t="n">
        <v>0.02502</v>
      </c>
      <c r="C22" s="11" t="n">
        <v>0.13795</v>
      </c>
      <c r="D22" s="11" t="n">
        <v>0.08048</v>
      </c>
      <c r="E22" s="4" t="n">
        <f aca="false">F22-G22</f>
        <v>-0.0120099999999752</v>
      </c>
      <c r="F22" s="12" t="n">
        <v>-293.7095</v>
      </c>
      <c r="G22" s="6" t="n">
        <v>-293.69749</v>
      </c>
    </row>
    <row r="23" customFormat="false" ht="17.25" hidden="false" customHeight="false" outlineLevel="0" collapsed="false">
      <c r="A23" s="1" t="s">
        <v>25</v>
      </c>
      <c r="B23" s="1" t="n">
        <v>0.13168</v>
      </c>
      <c r="C23" s="1" t="n">
        <v>0.59311</v>
      </c>
      <c r="D23" s="1" t="n">
        <v>0.08993</v>
      </c>
      <c r="E23" s="4" t="n">
        <f aca="false">F23-G23</f>
        <v>-0.371499999999999</v>
      </c>
      <c r="F23" s="5" t="n">
        <f aca="false">G23+B23-C23+D23</f>
        <v>-12.446363</v>
      </c>
      <c r="G23" s="8" t="n">
        <v>-12.074863</v>
      </c>
    </row>
    <row r="24" customFormat="false" ht="17.25" hidden="false" customHeight="false" outlineLevel="0" collapsed="false">
      <c r="A24" s="1" t="s">
        <v>26</v>
      </c>
      <c r="B24" s="7" t="n">
        <v>1.20614</v>
      </c>
      <c r="C24" s="7" t="n">
        <v>0.57495</v>
      </c>
      <c r="D24" s="7" t="n">
        <v>0.10379</v>
      </c>
      <c r="E24" s="4" t="n">
        <f aca="false">F24-G24</f>
        <v>0.73498</v>
      </c>
      <c r="F24" s="5" t="n">
        <f aca="false">G24+B24-C24+D24</f>
        <v>-22.556129</v>
      </c>
      <c r="G24" s="10" t="n">
        <v>-23.291109</v>
      </c>
      <c r="I24" s="4"/>
    </row>
    <row r="25" customFormat="false" ht="17.25" hidden="false" customHeight="false" outlineLevel="0" collapsed="false">
      <c r="E25" s="4"/>
      <c r="F25" s="5"/>
      <c r="G25" s="8"/>
      <c r="I25" s="4"/>
    </row>
    <row r="26" customFormat="false" ht="17.25" hidden="false" customHeight="false" outlineLevel="0" collapsed="false">
      <c r="B26" s="7"/>
      <c r="C26" s="7"/>
      <c r="D26" s="7"/>
      <c r="E26" s="4"/>
      <c r="F26" s="5"/>
      <c r="G26" s="8"/>
      <c r="I26" s="4"/>
    </row>
    <row r="27" customFormat="false" ht="17.25" hidden="false" customHeight="false" outlineLevel="0" collapsed="false">
      <c r="I27" s="4"/>
    </row>
    <row r="28" customFormat="false" ht="17.25" hidden="false" customHeight="false" outlineLevel="0" collapsed="false">
      <c r="B28" s="13"/>
      <c r="C28" s="13"/>
      <c r="E28" s="4"/>
      <c r="F28" s="5"/>
      <c r="I28" s="4"/>
    </row>
    <row r="29" customFormat="false" ht="17.25" hidden="false" customHeight="false" outlineLevel="0" collapsed="false">
      <c r="E29" s="4"/>
      <c r="F29" s="5"/>
      <c r="I29" s="4"/>
    </row>
    <row r="30" customFormat="false" ht="17.25" hidden="false" customHeight="false" outlineLevel="0" collapsed="false">
      <c r="E30" s="4"/>
      <c r="F30" s="5"/>
      <c r="I30" s="4"/>
    </row>
    <row r="31" customFormat="false" ht="17.25" hidden="false" customHeight="false" outlineLevel="0" collapsed="false">
      <c r="E31" s="4"/>
      <c r="F31" s="5"/>
      <c r="I31" s="4"/>
    </row>
    <row r="32" customFormat="false" ht="17.25" hidden="false" customHeight="false" outlineLevel="0" collapsed="false">
      <c r="E32" s="4"/>
      <c r="F32" s="5"/>
      <c r="I32" s="4"/>
    </row>
    <row r="33" customFormat="false" ht="17.25" hidden="false" customHeight="false" outlineLevel="0" collapsed="false">
      <c r="E33" s="4"/>
      <c r="F33" s="5"/>
      <c r="I33" s="4"/>
    </row>
    <row r="34" customFormat="false" ht="17.25" hidden="false" customHeight="false" outlineLevel="0" collapsed="false">
      <c r="E34" s="4"/>
      <c r="F34" s="5"/>
      <c r="I34" s="4"/>
    </row>
    <row r="35" customFormat="false" ht="17.25" hidden="false" customHeight="false" outlineLevel="0" collapsed="false">
      <c r="E35" s="4"/>
      <c r="F35" s="5"/>
      <c r="I35" s="4"/>
    </row>
    <row r="36" customFormat="false" ht="17.25" hidden="false" customHeight="false" outlineLevel="0" collapsed="false">
      <c r="E36" s="4"/>
      <c r="F36" s="5"/>
      <c r="I36" s="4"/>
    </row>
    <row r="37" customFormat="false" ht="17.25" hidden="false" customHeight="false" outlineLevel="0" collapsed="false">
      <c r="E37" s="4"/>
      <c r="F37" s="5"/>
      <c r="I37" s="4"/>
    </row>
    <row r="38" customFormat="false" ht="17.25" hidden="false" customHeight="false" outlineLevel="0" collapsed="false">
      <c r="E38" s="4"/>
      <c r="F38" s="5"/>
      <c r="I38" s="4"/>
    </row>
    <row r="39" customFormat="false" ht="17.25" hidden="false" customHeight="false" outlineLevel="0" collapsed="false">
      <c r="E39" s="4"/>
      <c r="F39" s="5"/>
      <c r="I39" s="4"/>
    </row>
    <row r="40" customFormat="false" ht="17.25" hidden="false" customHeight="false" outlineLevel="0" collapsed="false">
      <c r="E40" s="4"/>
      <c r="F40" s="5"/>
      <c r="I40" s="4"/>
    </row>
    <row r="41" customFormat="false" ht="17.25" hidden="false" customHeight="false" outlineLevel="0" collapsed="false">
      <c r="E41" s="4"/>
      <c r="F41" s="5"/>
      <c r="I41" s="4"/>
    </row>
    <row r="42" customFormat="false" ht="17.25" hidden="false" customHeight="false" outlineLevel="0" collapsed="false">
      <c r="E42" s="4"/>
      <c r="F42" s="5"/>
      <c r="I42" s="4"/>
    </row>
    <row r="43" customFormat="false" ht="17.25" hidden="false" customHeight="false" outlineLevel="0" collapsed="false">
      <c r="E43" s="4"/>
      <c r="F43" s="5"/>
      <c r="I43" s="4"/>
    </row>
    <row r="44" customFormat="false" ht="17.25" hidden="false" customHeight="false" outlineLevel="0" collapsed="false">
      <c r="E44" s="4"/>
      <c r="F44" s="5"/>
      <c r="I44" s="4"/>
    </row>
    <row r="45" customFormat="false" ht="17.25" hidden="false" customHeight="false" outlineLevel="0" collapsed="false">
      <c r="E45" s="4"/>
      <c r="F45" s="5"/>
      <c r="I4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GiBeom Sim</dc:creator>
  <dc:description/>
  <dc:language>en-US</dc:language>
  <cp:lastModifiedBy/>
  <dcterms:modified xsi:type="dcterms:W3CDTF">2026-01-27T11:42:11Z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