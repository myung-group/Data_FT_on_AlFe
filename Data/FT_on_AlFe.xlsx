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1" sheetId="1" state="visible" r:id="rId3"/>
    <sheet name="C2" sheetId="2" state="visible" r:id="rId4"/>
    <sheet name="C3" sheetId="3" state="visible" r:id="rId5"/>
    <sheet name="C4-C7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<sst xmlns="http://schemas.openxmlformats.org/spreadsheetml/2006/main" count="115" uniqueCount="73">
  <si>
    <t xml:space="preserve">Symbols</t>
  </si>
  <si>
    <t xml:space="preserve">ZPE</t>
  </si>
  <si>
    <t xml:space="preserve">TS</t>
  </si>
  <si>
    <t xml:space="preserve">Cp</t>
  </si>
  <si>
    <t xml:space="preserve">G-E</t>
  </si>
  <si>
    <t xml:space="preserve">G</t>
  </si>
  <si>
    <t xml:space="preserve">E(DFT)</t>
  </si>
  <si>
    <t xml:space="preserve">*COH</t>
  </si>
  <si>
    <t xml:space="preserve">*CO</t>
  </si>
  <si>
    <t xml:space="preserve">*CHO</t>
  </si>
  <si>
    <t xml:space="preserve">CH2*O</t>
  </si>
  <si>
    <t xml:space="preserve">CH3*O</t>
  </si>
  <si>
    <t xml:space="preserve">*CHOH</t>
  </si>
  <si>
    <t xml:space="preserve">*CH2OH</t>
  </si>
  <si>
    <t xml:space="preserve">*CH</t>
  </si>
  <si>
    <t xml:space="preserve">*CH2</t>
  </si>
  <si>
    <t xml:space="preserve">*CH3</t>
  </si>
  <si>
    <t xml:space="preserve">*O</t>
  </si>
  <si>
    <t xml:space="preserve">*OH</t>
  </si>
  <si>
    <t xml:space="preserve">*C</t>
  </si>
  <si>
    <t xml:space="preserve">CH4</t>
  </si>
  <si>
    <t xml:space="preserve">H2O</t>
  </si>
  <si>
    <t xml:space="preserve">H2</t>
  </si>
  <si>
    <t xml:space="preserve">H</t>
  </si>
  <si>
    <t xml:space="preserve">: 1/2 H2(g)</t>
  </si>
  <si>
    <t xml:space="preserve">*</t>
  </si>
  <si>
    <t xml:space="preserve">AlFe1</t>
  </si>
  <si>
    <t xml:space="preserve">CO</t>
  </si>
  <si>
    <t xml:space="preserve">*CH2-*CH2</t>
  </si>
  <si>
    <t xml:space="preserve">*C2H4</t>
  </si>
  <si>
    <t xml:space="preserve">*CH2CH3</t>
  </si>
  <si>
    <t xml:space="preserve">*CO-*CO</t>
  </si>
  <si>
    <t xml:space="preserve">*COH*CO</t>
  </si>
  <si>
    <t xml:space="preserve">*CCO</t>
  </si>
  <si>
    <t xml:space="preserve">*CHCO</t>
  </si>
  <si>
    <t xml:space="preserve">*CHCH*O</t>
  </si>
  <si>
    <t xml:space="preserve">CH2CH*O</t>
  </si>
  <si>
    <t xml:space="preserve">CH3CH*O</t>
  </si>
  <si>
    <t xml:space="preserve">CH3CH2*O</t>
  </si>
  <si>
    <t xml:space="preserve">*CH2-*CO</t>
  </si>
  <si>
    <t xml:space="preserve">*CH2*CO</t>
  </si>
  <si>
    <t xml:space="preserve">*CH2CHO</t>
  </si>
  <si>
    <t xml:space="preserve">CH2*C*O</t>
  </si>
  <si>
    <t xml:space="preserve">*COCH3</t>
  </si>
  <si>
    <t xml:space="preserve">*COHCH3</t>
  </si>
  <si>
    <t xml:space="preserve">*CHOHCH3</t>
  </si>
  <si>
    <t xml:space="preserve">*CHCH3</t>
  </si>
  <si>
    <t xml:space="preserve">C2H6</t>
  </si>
  <si>
    <t xml:space="preserve">*CO*CO</t>
  </si>
  <si>
    <t xml:space="preserve">*CH2CH3-*CO</t>
  </si>
  <si>
    <t xml:space="preserve">*COCH2CH3</t>
  </si>
  <si>
    <t xml:space="preserve">*COHCH2CH3</t>
  </si>
  <si>
    <t xml:space="preserve">*CHCH2CH3</t>
  </si>
  <si>
    <t xml:space="preserve">*CH2CH2CH3</t>
  </si>
  <si>
    <t xml:space="preserve">*CHOHCH2CH3</t>
  </si>
  <si>
    <t xml:space="preserve">C3H8</t>
  </si>
  <si>
    <t xml:space="preserve">*CH2CH3-*CH2</t>
  </si>
  <si>
    <t xml:space="preserve">C4</t>
  </si>
  <si>
    <t xml:space="preserve">C4H10</t>
  </si>
  <si>
    <t xml:space="preserve">*CH2CH2CH3-*CH2</t>
  </si>
  <si>
    <t xml:space="preserve">*CH2(CH2)2CH3</t>
  </si>
  <si>
    <t xml:space="preserve">C5</t>
  </si>
  <si>
    <t xml:space="preserve">C5H12</t>
  </si>
  <si>
    <t xml:space="preserve">*CH2(CH2)2CH3-*CH2</t>
  </si>
  <si>
    <t xml:space="preserve">*CH2(CH2)3CH3</t>
  </si>
  <si>
    <t xml:space="preserve">C6</t>
  </si>
  <si>
    <t xml:space="preserve">C6H14</t>
  </si>
  <si>
    <t xml:space="preserve">*CH2(CH2)3CH3-*CH2</t>
  </si>
  <si>
    <t xml:space="preserve">*CH2(CH2)4CH3</t>
  </si>
  <si>
    <t xml:space="preserve">C7</t>
  </si>
  <si>
    <t xml:space="preserve">C7H16</t>
  </si>
  <si>
    <t xml:space="preserve">*CH2(CH2)4CH3-*CH2</t>
  </si>
  <si>
    <t xml:space="preserve">*CH2(CH2)5CH3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</si>
</sst>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_ "/>
    <numFmt numFmtId="166" formatCode="0.00000"/>
  </numFmts>
  <fonts count="10">
    <font>
      <sz val="11"/>
      <color rgb="FF000000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C9211E"/>
      <name val="Noto Sans CJK KR"/>
      <family val="2"/>
      <charset val="1"/>
    </font>
    <font>
      <sz val="12"/>
      <color rgb="FF000000"/>
      <name val="Noto Sans CJK KR"/>
      <family val="2"/>
      <charset val="1"/>
    </font>
    <font>
      <sz val="11"/>
      <color rgb="FF000000"/>
      <name val="맑은 고딕"/>
      <family val="3"/>
      <charset val="129"/>
    </font>
    <font>
      <sz val="12"/>
      <name val="Noto Sans CJK KR"/>
      <family val="2"/>
      <charset val="1"/>
    </font>
    <font>
      <sz val="10"/>
      <color rgb="FF000000"/>
      <name val="Noto Sans CJK KR"/>
      <family val="2"/>
      <charset val="1"/>
    </font>
    <font>
      <sz val="11"/>
      <color rgb="FF22222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D8C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14" activeCellId="0" sqref="D14"/>
    </sheetView>
  </sheetViews>
  <sheetFormatPr defaultColWidth="8.375" defaultRowHeight="17.25" zeroHeight="false" outlineLevelRow="0" outlineLevelCol="0"/>
  <cols>
    <col collapsed="false" customWidth="true" hidden="false" outlineLevel="0" max="6" min="1" style="1" width="12.7"/>
    <col collapsed="false" customWidth="true" hidden="false" outlineLevel="0" max="7" min="7" style="1" width="12.9"/>
    <col collapsed="false" customWidth="true" hidden="false" outlineLevel="0" max="8" min="8" style="1" width="12.2"/>
    <col collapsed="false" customWidth="true" hidden="false" outlineLevel="0" max="10" min="10" style="1" width="28.22"/>
    <col collapsed="false" customWidth="true" hidden="false" outlineLevel="0" max="11" min="11" style="1" width="22.04"/>
  </cols>
  <sheetData>
    <row r="1" customFormat="false" ht="17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9.55" hidden="false" customHeight="false" outlineLevel="0" collapsed="false">
      <c r="A2" s="2" t="s">
        <v>7</v>
      </c>
      <c r="B2" s="3" t="n">
        <v>0.47519</v>
      </c>
      <c r="C2" s="3" t="n">
        <v>0.39523</v>
      </c>
      <c r="D2" s="3" t="n">
        <v>0.1622</v>
      </c>
      <c r="E2" s="4" t="n">
        <f aca="false">F2-G2</f>
        <v>0.242159999999956</v>
      </c>
      <c r="F2" s="5" t="n">
        <f aca="false">G2+B2-C2+D2</f>
        <v>-311.98531</v>
      </c>
      <c r="G2" s="6" t="n">
        <v>-312.22747</v>
      </c>
    </row>
    <row r="3" customFormat="false" ht="17.25" hidden="false" customHeight="false" outlineLevel="0" collapsed="false">
      <c r="A3" s="1" t="s">
        <v>8</v>
      </c>
      <c r="B3" s="7" t="n">
        <v>0.22976</v>
      </c>
      <c r="C3" s="7" t="n">
        <v>0.31294</v>
      </c>
      <c r="D3" s="7" t="n">
        <v>0.15063</v>
      </c>
      <c r="E3" s="4" t="n">
        <f aca="false">F3-G3</f>
        <v>0.0674499999999512</v>
      </c>
      <c r="F3" s="5" t="n">
        <f aca="false">G3+B3-C3+D3</f>
        <v>-310.42995</v>
      </c>
      <c r="G3" s="8" t="n">
        <v>-310.4974</v>
      </c>
    </row>
    <row r="4" customFormat="false" ht="17.25" hidden="false" customHeight="false" outlineLevel="0" collapsed="false">
      <c r="A4" s="1" t="s">
        <v>9</v>
      </c>
      <c r="B4" s="3" t="n">
        <v>0.54012</v>
      </c>
      <c r="C4" s="3" t="n">
        <v>0.35569</v>
      </c>
      <c r="D4" s="3" t="n">
        <v>0.19332</v>
      </c>
      <c r="E4" s="4" t="n">
        <f aca="false">F4-G4</f>
        <v>0.377750000000049</v>
      </c>
      <c r="F4" s="5" t="n">
        <f aca="false">G4+B4-C4+D4</f>
        <v>-313.27974</v>
      </c>
      <c r="G4" s="6" t="n">
        <v>-313.65749</v>
      </c>
    </row>
    <row r="5" customFormat="false" ht="17.25" hidden="false" customHeight="false" outlineLevel="0" collapsed="false">
      <c r="A5" s="1" t="s">
        <v>10</v>
      </c>
      <c r="B5" s="9" t="n">
        <v>0.88533</v>
      </c>
      <c r="C5" s="9" t="n">
        <v>0.43305</v>
      </c>
      <c r="D5" s="9" t="n">
        <v>0.24092</v>
      </c>
      <c r="E5" s="4" t="n">
        <f aca="false">F5-G5</f>
        <v>0.693200000000047</v>
      </c>
      <c r="F5" s="5" t="n">
        <f aca="false">G5+B5-C5+D5</f>
        <v>-317.02386</v>
      </c>
      <c r="G5" s="6" t="n">
        <v>-317.71706</v>
      </c>
    </row>
    <row r="6" customFormat="false" ht="17.25" hidden="false" customHeight="false" outlineLevel="0" collapsed="false">
      <c r="A6" s="1" t="s">
        <v>11</v>
      </c>
      <c r="B6" s="7" t="n">
        <v>1.20644</v>
      </c>
      <c r="C6" s="7" t="n">
        <v>0.54985</v>
      </c>
      <c r="D6" s="7" t="n">
        <v>0.2796</v>
      </c>
      <c r="E6" s="4" t="n">
        <f aca="false">F6-G6</f>
        <v>0.936190000000011</v>
      </c>
      <c r="F6" s="5" t="n">
        <f aca="false">G6+B6-C6+D6</f>
        <v>-321.36661</v>
      </c>
      <c r="G6" s="6" t="n">
        <v>-322.3028</v>
      </c>
      <c r="J6" s="4"/>
    </row>
    <row r="7" customFormat="false" ht="17.25" hidden="false" customHeight="false" outlineLevel="0" collapsed="false">
      <c r="A7" s="1" t="s">
        <v>12</v>
      </c>
      <c r="B7" s="7" t="n">
        <v>0.80736</v>
      </c>
      <c r="C7" s="3" t="n">
        <v>0.37018</v>
      </c>
      <c r="D7" s="3" t="n">
        <v>0.17306</v>
      </c>
      <c r="E7" s="4" t="n">
        <f aca="false">F7-G7</f>
        <v>0.610240000000033</v>
      </c>
      <c r="F7" s="5" t="n">
        <f aca="false">G7+B7-C7+D7</f>
        <v>-315.71319</v>
      </c>
      <c r="G7" s="6" t="n">
        <v>-316.32343</v>
      </c>
      <c r="J7" s="4"/>
    </row>
    <row r="8" customFormat="false" ht="17.25" hidden="false" customHeight="false" outlineLevel="0" collapsed="false">
      <c r="A8" s="1" t="s">
        <v>13</v>
      </c>
      <c r="B8" s="7" t="n">
        <v>1.14495</v>
      </c>
      <c r="C8" s="7" t="n">
        <v>0.39858</v>
      </c>
      <c r="D8" s="7" t="n">
        <v>0.21893</v>
      </c>
      <c r="E8" s="4" t="n">
        <f aca="false">F8-G8</f>
        <v>0.965300000000013</v>
      </c>
      <c r="F8" s="5" t="n">
        <f aca="false">G8+B8-C8+D8</f>
        <v>-319.74225</v>
      </c>
      <c r="G8" s="6" t="n">
        <v>-320.70755</v>
      </c>
    </row>
    <row r="9" customFormat="false" ht="17.25" hidden="false" customHeight="false" outlineLevel="0" collapsed="false">
      <c r="A9" s="1" t="s">
        <v>14</v>
      </c>
      <c r="B9" s="7" t="n">
        <v>0.4451</v>
      </c>
      <c r="C9" s="7" t="n">
        <v>0.38002</v>
      </c>
      <c r="D9" s="7" t="n">
        <v>0.21023</v>
      </c>
      <c r="E9" s="4" t="n">
        <f aca="false">F9-G9</f>
        <v>0.275310000000047</v>
      </c>
      <c r="F9" s="5" t="n">
        <f aca="false">G9+B9-C9+D9</f>
        <v>-307.5313</v>
      </c>
      <c r="G9" s="8" t="n">
        <v>-307.80661</v>
      </c>
    </row>
    <row r="10" customFormat="false" ht="17.25" hidden="false" customHeight="false" outlineLevel="0" collapsed="false">
      <c r="A10" s="1" t="s">
        <v>15</v>
      </c>
      <c r="B10" s="7" t="n">
        <v>0.74215</v>
      </c>
      <c r="C10" s="7" t="n">
        <v>0.39797</v>
      </c>
      <c r="D10" s="7" t="n">
        <v>0.22084</v>
      </c>
      <c r="E10" s="4" t="n">
        <f aca="false">F10-G10</f>
        <v>0.565020000000004</v>
      </c>
      <c r="F10" s="5" t="n">
        <f aca="false">G10+B10-C10+D10</f>
        <v>-311.20883</v>
      </c>
      <c r="G10" s="6" t="n">
        <v>-311.77385</v>
      </c>
    </row>
    <row r="11" customFormat="false" ht="17.25" hidden="false" customHeight="false" outlineLevel="0" collapsed="false">
      <c r="A11" s="1" t="s">
        <v>16</v>
      </c>
      <c r="B11" s="7" t="n">
        <v>0.95712</v>
      </c>
      <c r="C11" s="7" t="n">
        <v>0.32543</v>
      </c>
      <c r="D11" s="7" t="n">
        <v>0.16238</v>
      </c>
      <c r="E11" s="4" t="n">
        <f aca="false">F11-G11</f>
        <v>0.794069999999977</v>
      </c>
      <c r="F11" s="5" t="n">
        <f aca="false">G11+B11-C11+D11</f>
        <v>-314.70794</v>
      </c>
      <c r="G11" s="6" t="n">
        <v>-315.50201</v>
      </c>
    </row>
    <row r="12" customFormat="false" ht="17.25" hidden="false" customHeight="false" outlineLevel="0" collapsed="false">
      <c r="A12" s="1" t="s">
        <v>17</v>
      </c>
      <c r="B12" s="7" t="n">
        <v>0.17646</v>
      </c>
      <c r="C12" s="7" t="n">
        <v>0.37039</v>
      </c>
      <c r="D12" s="7" t="n">
        <v>0.20441</v>
      </c>
      <c r="E12" s="4" t="n">
        <f aca="false">F12-G12</f>
        <v>0.0104800000000296</v>
      </c>
      <c r="F12" s="5" t="n">
        <f aca="false">G12+B12-C12+D12</f>
        <v>-304.03577</v>
      </c>
      <c r="G12" s="8" t="n">
        <v>-304.04625</v>
      </c>
    </row>
    <row r="13" customFormat="false" ht="17.25" hidden="false" customHeight="false" outlineLevel="0" collapsed="false">
      <c r="A13" s="1" t="s">
        <v>18</v>
      </c>
      <c r="B13" s="7" t="n">
        <v>0.4527</v>
      </c>
      <c r="C13" s="7" t="n">
        <v>0.40479</v>
      </c>
      <c r="D13" s="7" t="n">
        <v>0.22395</v>
      </c>
      <c r="E13" s="4" t="n">
        <f aca="false">F13-G13</f>
        <v>0.271860000000004</v>
      </c>
      <c r="F13" s="5" t="n">
        <f aca="false">G13+B13-C13+D13</f>
        <v>-306.96526</v>
      </c>
      <c r="G13" s="8" t="n">
        <v>-307.23712</v>
      </c>
    </row>
    <row r="14" customFormat="false" ht="19.55" hidden="false" customHeight="false" outlineLevel="0" collapsed="false">
      <c r="A14" s="2" t="s">
        <v>19</v>
      </c>
      <c r="B14" s="3" t="n">
        <v>0.2336</v>
      </c>
      <c r="C14" s="3" t="n">
        <v>0.41493</v>
      </c>
      <c r="D14" s="3" t="n">
        <v>0.23579</v>
      </c>
      <c r="E14" s="4" t="n">
        <f aca="false">F14-G14</f>
        <v>0.054460000000006</v>
      </c>
      <c r="F14" s="5" t="n">
        <f aca="false">G14+B14-C14+D14</f>
        <v>-303.63832</v>
      </c>
      <c r="G14" s="6" t="n">
        <v>-303.69278</v>
      </c>
    </row>
    <row r="15" customFormat="false" ht="17.25" hidden="false" customHeight="false" outlineLevel="0" collapsed="false">
      <c r="A15" s="0"/>
      <c r="B15" s="0"/>
      <c r="C15" s="0"/>
      <c r="D15" s="0"/>
      <c r="E15" s="0"/>
      <c r="F15" s="0"/>
      <c r="G15" s="0"/>
    </row>
    <row r="16" customFormat="false" ht="17.25" hidden="false" customHeight="false" outlineLevel="0" collapsed="false">
      <c r="A16" s="2"/>
      <c r="B16" s="3"/>
      <c r="C16" s="3"/>
      <c r="D16" s="3"/>
      <c r="E16" s="4"/>
      <c r="F16" s="5"/>
      <c r="G16" s="6"/>
    </row>
    <row r="17" customFormat="false" ht="17.25" hidden="false" customHeight="false" outlineLevel="0" collapsed="false">
      <c r="A17" s="2"/>
      <c r="B17" s="3"/>
      <c r="C17" s="3"/>
      <c r="D17" s="3"/>
      <c r="E17" s="4"/>
      <c r="F17" s="5"/>
      <c r="G17" s="6"/>
    </row>
    <row r="18" customFormat="false" ht="17.25" hidden="false" customHeight="false" outlineLevel="0" collapsed="false">
      <c r="A18" s="1" t="s">
        <v>20</v>
      </c>
      <c r="B18" s="7" t="n">
        <v>1.20614</v>
      </c>
      <c r="C18" s="7" t="n">
        <v>0.57495</v>
      </c>
      <c r="D18" s="7" t="n">
        <v>0.10379</v>
      </c>
      <c r="E18" s="4" t="n">
        <f aca="false">F18-G18</f>
        <v>0.73498</v>
      </c>
      <c r="F18" s="5" t="n">
        <f aca="false">G18+B18-C18+D18</f>
        <v>-22.556129</v>
      </c>
      <c r="G18" s="8" t="n">
        <v>-23.291109</v>
      </c>
    </row>
    <row r="19" customFormat="false" ht="17.25" hidden="false" customHeight="false" outlineLevel="0" collapsed="false">
      <c r="A19" s="1" t="s">
        <v>21</v>
      </c>
      <c r="B19" s="7" t="n">
        <v>0.57647</v>
      </c>
      <c r="C19" s="7" t="n">
        <v>0.5832</v>
      </c>
      <c r="D19" s="7" t="n">
        <v>0.10285</v>
      </c>
      <c r="E19" s="4" t="n">
        <f aca="false">F19-G19</f>
        <v>0.0961200000000009</v>
      </c>
      <c r="F19" s="5" t="n">
        <f aca="false">G19+B19-C19+D19</f>
        <v>-12.716362</v>
      </c>
      <c r="G19" s="8" t="n">
        <v>-12.812482</v>
      </c>
    </row>
    <row r="20" customFormat="false" ht="17.25" hidden="false" customHeight="false" outlineLevel="0" collapsed="false">
      <c r="A20" s="1" t="s">
        <v>22</v>
      </c>
      <c r="B20" s="7" t="n">
        <v>0.27754</v>
      </c>
      <c r="C20" s="7" t="n">
        <v>0.41985</v>
      </c>
      <c r="D20" s="7" t="n">
        <v>0.08992</v>
      </c>
      <c r="E20" s="4" t="n">
        <f aca="false">F20-G20</f>
        <v>-0.0523899999999999</v>
      </c>
      <c r="F20" s="5" t="n">
        <f aca="false">G20+B20-C20+D20</f>
        <v>-7.2050261</v>
      </c>
      <c r="G20" s="8" t="n">
        <v>-7.1526361</v>
      </c>
    </row>
    <row r="21" customFormat="false" ht="17.25" hidden="false" customHeight="false" outlineLevel="0" collapsed="false">
      <c r="A21" s="1" t="s">
        <v>23</v>
      </c>
      <c r="F21" s="5" t="n">
        <f aca="false">F20/2</f>
        <v>-3.60251305</v>
      </c>
      <c r="G21" s="1" t="n">
        <f aca="false">G20/2</f>
        <v>-3.57631805</v>
      </c>
      <c r="H21" s="1" t="s">
        <v>24</v>
      </c>
    </row>
    <row r="22" customFormat="false" ht="17.25" hidden="false" customHeight="false" outlineLevel="0" collapsed="false">
      <c r="A22" s="1" t="s">
        <v>25</v>
      </c>
      <c r="B22" s="10" t="n">
        <v>0.02502</v>
      </c>
      <c r="C22" s="10" t="n">
        <v>0.13795</v>
      </c>
      <c r="D22" s="10" t="n">
        <v>0.08048</v>
      </c>
      <c r="E22" s="4" t="n">
        <f aca="false">F22-G22</f>
        <v>-0.032449999999983</v>
      </c>
      <c r="F22" s="5" t="n">
        <f aca="false">G22+B22-C22+D22</f>
        <v>-296.99151</v>
      </c>
      <c r="G22" s="6" t="n">
        <v>-296.95906</v>
      </c>
      <c r="H22" s="1" t="s">
        <v>26</v>
      </c>
    </row>
    <row r="23" customFormat="false" ht="17.25" hidden="false" customHeight="false" outlineLevel="0" collapsed="false">
      <c r="A23" s="1" t="s">
        <v>27</v>
      </c>
      <c r="B23" s="1" t="n">
        <v>0.13168</v>
      </c>
      <c r="C23" s="1" t="n">
        <v>0.59311</v>
      </c>
      <c r="D23" s="1" t="n">
        <v>0.08993</v>
      </c>
      <c r="E23" s="4" t="n">
        <f aca="false">F23-G23</f>
        <v>-0.371499999999999</v>
      </c>
      <c r="F23" s="5" t="n">
        <f aca="false">G23+B23-C23+D23</f>
        <v>-12.446363</v>
      </c>
      <c r="G23" s="11" t="n">
        <v>-12.074863</v>
      </c>
    </row>
    <row r="24" customFormat="false" ht="17.25" hidden="false" customHeight="false" outlineLevel="0" collapsed="false">
      <c r="B24" s="3"/>
      <c r="C24" s="3"/>
      <c r="D24" s="3"/>
      <c r="E24" s="4"/>
      <c r="F24" s="5"/>
      <c r="G24" s="6"/>
      <c r="I24" s="4"/>
    </row>
    <row r="25" customFormat="false" ht="17.25" hidden="false" customHeight="false" outlineLevel="0" collapsed="false">
      <c r="E25" s="4"/>
      <c r="F25" s="5"/>
      <c r="G25" s="11"/>
      <c r="I25" s="4"/>
    </row>
    <row r="26" customFormat="false" ht="17.25" hidden="false" customHeight="false" outlineLevel="0" collapsed="false">
      <c r="B26" s="7"/>
      <c r="C26" s="7"/>
      <c r="D26" s="7"/>
      <c r="E26" s="4"/>
      <c r="F26" s="5"/>
      <c r="G26" s="11"/>
      <c r="I26" s="4"/>
    </row>
    <row r="27" customFormat="false" ht="17.25" hidden="false" customHeight="false" outlineLevel="0" collapsed="false">
      <c r="I27" s="4"/>
    </row>
    <row r="28" customFormat="false" ht="17.25" hidden="false" customHeight="false" outlineLevel="0" collapsed="false">
      <c r="B28" s="12"/>
      <c r="C28" s="12"/>
      <c r="E28" s="4"/>
      <c r="F28" s="5"/>
      <c r="I28" s="4"/>
    </row>
    <row r="29" customFormat="false" ht="17.25" hidden="false" customHeight="false" outlineLevel="0" collapsed="false">
      <c r="E29" s="4"/>
      <c r="F29" s="5"/>
      <c r="I29" s="4"/>
    </row>
    <row r="30" customFormat="false" ht="17.25" hidden="false" customHeight="false" outlineLevel="0" collapsed="false">
      <c r="E30" s="4"/>
      <c r="F30" s="5"/>
      <c r="I30" s="4"/>
    </row>
    <row r="31" customFormat="false" ht="17.25" hidden="false" customHeight="false" outlineLevel="0" collapsed="false">
      <c r="E31" s="4"/>
      <c r="F31" s="5"/>
      <c r="I31" s="4"/>
    </row>
    <row r="32" customFormat="false" ht="17.25" hidden="false" customHeight="false" outlineLevel="0" collapsed="false">
      <c r="E32" s="4"/>
      <c r="F32" s="5"/>
      <c r="I32" s="4"/>
    </row>
    <row r="33" customFormat="false" ht="17.25" hidden="false" customHeight="false" outlineLevel="0" collapsed="false">
      <c r="E33" s="4"/>
      <c r="F33" s="5"/>
      <c r="I33" s="4"/>
    </row>
    <row r="34" customFormat="false" ht="17.25" hidden="false" customHeight="false" outlineLevel="0" collapsed="false">
      <c r="E34" s="4"/>
      <c r="F34" s="5"/>
      <c r="I34" s="4"/>
    </row>
    <row r="35" customFormat="false" ht="17.25" hidden="false" customHeight="false" outlineLevel="0" collapsed="false">
      <c r="E35" s="4"/>
      <c r="F35" s="5"/>
      <c r="I35" s="4"/>
    </row>
    <row r="36" customFormat="false" ht="17.25" hidden="false" customHeight="false" outlineLevel="0" collapsed="false">
      <c r="E36" s="4"/>
      <c r="F36" s="5"/>
      <c r="I36" s="4"/>
    </row>
    <row r="37" customFormat="false" ht="17.25" hidden="false" customHeight="false" outlineLevel="0" collapsed="false">
      <c r="E37" s="4"/>
      <c r="F37" s="5"/>
      <c r="I37" s="4"/>
    </row>
    <row r="38" customFormat="false" ht="17.25" hidden="false" customHeight="false" outlineLevel="0" collapsed="false">
      <c r="E38" s="4"/>
      <c r="F38" s="5"/>
      <c r="I38" s="4"/>
    </row>
    <row r="39" customFormat="false" ht="17.25" hidden="false" customHeight="false" outlineLevel="0" collapsed="false">
      <c r="E39" s="4"/>
      <c r="F39" s="5"/>
      <c r="I39" s="4"/>
    </row>
    <row r="40" customFormat="false" ht="17.25" hidden="false" customHeight="false" outlineLevel="0" collapsed="false">
      <c r="E40" s="4"/>
      <c r="F40" s="5"/>
      <c r="I40" s="4"/>
    </row>
    <row r="41" customFormat="false" ht="17.25" hidden="false" customHeight="false" outlineLevel="0" collapsed="false">
      <c r="E41" s="4"/>
      <c r="F41" s="5"/>
      <c r="I41" s="4"/>
    </row>
    <row r="42" customFormat="false" ht="17.25" hidden="false" customHeight="false" outlineLevel="0" collapsed="false">
      <c r="E42" s="4"/>
      <c r="F42" s="5"/>
      <c r="I42" s="4"/>
    </row>
    <row r="43" customFormat="false" ht="17.25" hidden="false" customHeight="false" outlineLevel="0" collapsed="false">
      <c r="E43" s="4"/>
      <c r="F43" s="5"/>
      <c r="I43" s="4"/>
    </row>
    <row r="44" customFormat="false" ht="17.25" hidden="false" customHeight="false" outlineLevel="0" collapsed="false">
      <c r="E44" s="4"/>
      <c r="F44" s="5"/>
      <c r="I44" s="4"/>
    </row>
    <row r="45" customFormat="false" ht="17.25" hidden="false" customHeight="false" outlineLevel="0" collapsed="false">
      <c r="E45" s="4"/>
      <c r="F45" s="5"/>
      <c r="I4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9" colorId="64" zoomScale="80" zoomScaleNormal="80" zoomScalePageLayoutView="100" workbookViewId="0">
      <selection pane="topLeft" activeCell="I1" activeCellId="0" sqref="I1"/>
    </sheetView>
  </sheetViews>
  <sheetFormatPr defaultColWidth="8.375" defaultRowHeight="17.25" zeroHeight="false" outlineLevelRow="0" outlineLevelCol="0"/>
  <cols>
    <col collapsed="false" customWidth="true" hidden="false" outlineLevel="0" max="6" min="1" style="1" width="12.7"/>
    <col collapsed="false" customWidth="true" hidden="false" outlineLevel="0" max="7" min="7" style="1" width="13.4"/>
    <col collapsed="false" customWidth="true" hidden="false" outlineLevel="0" max="8" min="8" style="1" width="13.2"/>
  </cols>
  <sheetData>
    <row r="1" customFormat="false" ht="17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7.25" hidden="false" customHeight="false" outlineLevel="0" collapsed="false">
      <c r="A2" s="1" t="s">
        <v>28</v>
      </c>
      <c r="B2" s="7" t="n">
        <v>1.42491</v>
      </c>
      <c r="C2" s="7" t="n">
        <v>0.66859</v>
      </c>
      <c r="D2" s="7" t="n">
        <v>0.368</v>
      </c>
      <c r="E2" s="4" t="n">
        <f aca="false">F2-G2</f>
        <v>1.12432000000001</v>
      </c>
      <c r="F2" s="4" t="n">
        <f aca="false">G2+B2-C2+D2</f>
        <v>-325.44039</v>
      </c>
      <c r="G2" s="11" t="n">
        <v>-326.56471</v>
      </c>
      <c r="I2" s="1"/>
      <c r="J2" s="4"/>
    </row>
    <row r="3" customFormat="false" ht="17.25" hidden="false" customHeight="false" outlineLevel="0" collapsed="false">
      <c r="A3" s="1" t="s">
        <v>29</v>
      </c>
      <c r="B3" s="7" t="n">
        <v>1.43095</v>
      </c>
      <c r="C3" s="7" t="n">
        <v>0.38822</v>
      </c>
      <c r="D3" s="7" t="n">
        <v>0.18412</v>
      </c>
      <c r="E3" s="4" t="n">
        <f aca="false">F3-G3</f>
        <v>1.22685000000001</v>
      </c>
      <c r="F3" s="4" t="n">
        <f aca="false">G3+B3-C3+D3</f>
        <v>-325.71037</v>
      </c>
      <c r="G3" s="8" t="n">
        <v>-326.93722</v>
      </c>
      <c r="I3" s="1"/>
    </row>
    <row r="4" customFormat="false" ht="17.25" hidden="false" customHeight="false" outlineLevel="0" collapsed="false">
      <c r="A4" s="1" t="s">
        <v>30</v>
      </c>
      <c r="B4" s="7" t="n">
        <v>1.7218</v>
      </c>
      <c r="C4" s="7" t="n">
        <v>0.33206</v>
      </c>
      <c r="D4" s="7" t="n">
        <v>0.005</v>
      </c>
      <c r="E4" s="4" t="n">
        <f aca="false">F4-G4</f>
        <v>1.39473999999996</v>
      </c>
      <c r="F4" s="4" t="n">
        <f aca="false">G4+B4-C4+D4</f>
        <v>-329.47627</v>
      </c>
      <c r="G4" s="13" t="n">
        <v>-330.87101</v>
      </c>
      <c r="I4" s="1"/>
    </row>
    <row r="5" customFormat="false" ht="17.25" hidden="false" customHeight="false" outlineLevel="0" collapsed="false">
      <c r="A5" s="1" t="s">
        <v>31</v>
      </c>
      <c r="B5" s="1" t="n">
        <v>0.4431</v>
      </c>
      <c r="C5" s="1" t="n">
        <v>0.45797</v>
      </c>
      <c r="D5" s="1" t="n">
        <v>0.21211</v>
      </c>
      <c r="E5" s="4" t="n">
        <f aca="false">F5-G5</f>
        <v>0.197240000000022</v>
      </c>
      <c r="F5" s="4" t="n">
        <f aca="false">G5+B5-C5+D5</f>
        <v>-322.5828</v>
      </c>
      <c r="G5" s="11" t="n">
        <v>-322.78004</v>
      </c>
      <c r="I5" s="1"/>
    </row>
    <row r="6" customFormat="false" ht="17.25" hidden="false" customHeight="false" outlineLevel="0" collapsed="false">
      <c r="A6" s="1" t="s">
        <v>32</v>
      </c>
      <c r="B6" s="9" t="n">
        <v>0.83707</v>
      </c>
      <c r="C6" s="9" t="n">
        <v>0.52956</v>
      </c>
      <c r="D6" s="9" t="n">
        <v>0.28672</v>
      </c>
      <c r="E6" s="4" t="n">
        <f aca="false">F6-G6</f>
        <v>0.594229999999982</v>
      </c>
      <c r="F6" s="4" t="n">
        <f aca="false">G6+B6-C6+D6</f>
        <v>-325.21503</v>
      </c>
      <c r="G6" s="6" t="n">
        <v>-325.80926</v>
      </c>
      <c r="I6" s="1"/>
    </row>
    <row r="7" customFormat="false" ht="17.25" hidden="false" customHeight="false" outlineLevel="0" collapsed="false">
      <c r="A7" s="1" t="s">
        <v>33</v>
      </c>
      <c r="B7" s="7" t="n">
        <v>0.43908</v>
      </c>
      <c r="C7" s="3" t="n">
        <v>0.46161</v>
      </c>
      <c r="D7" s="3" t="n">
        <v>0.24312</v>
      </c>
      <c r="E7" s="4" t="n">
        <f aca="false">F7-G7</f>
        <v>0.220589999999959</v>
      </c>
      <c r="F7" s="4" t="n">
        <f aca="false">G7+B7-C7+D7</f>
        <v>-317.17949</v>
      </c>
      <c r="G7" s="6" t="n">
        <v>-317.40008</v>
      </c>
      <c r="I7" s="1"/>
    </row>
    <row r="8" customFormat="false" ht="17.25" hidden="false" customHeight="false" outlineLevel="0" collapsed="false">
      <c r="A8" s="1" t="s">
        <v>34</v>
      </c>
      <c r="B8" s="3" t="n">
        <v>0.60707</v>
      </c>
      <c r="C8" s="3" t="n">
        <v>0.43455</v>
      </c>
      <c r="D8" s="3" t="n">
        <v>0.20162</v>
      </c>
      <c r="E8" s="4" t="n">
        <f aca="false">F8-G8</f>
        <v>0.374140000000011</v>
      </c>
      <c r="F8" s="4" t="n">
        <f aca="false">G8+B8-C8+D8</f>
        <v>-319.81394</v>
      </c>
      <c r="G8" s="6" t="n">
        <v>-320.18808</v>
      </c>
      <c r="I8" s="1"/>
    </row>
    <row r="9" customFormat="false" ht="17.25" hidden="false" customHeight="false" outlineLevel="0" collapsed="false">
      <c r="A9" s="1" t="s">
        <v>35</v>
      </c>
      <c r="B9" s="7" t="n">
        <v>1.01999</v>
      </c>
      <c r="C9" s="7" t="n">
        <v>0.48081</v>
      </c>
      <c r="D9" s="7" t="n">
        <v>0.26253</v>
      </c>
      <c r="E9" s="4" t="n">
        <f aca="false">F9-G9</f>
        <v>0.801710000000014</v>
      </c>
      <c r="F9" s="4" t="n">
        <f aca="false">G9+B9-C9+D9</f>
        <v>-324.36427</v>
      </c>
      <c r="G9" s="6" t="n">
        <v>-325.16598</v>
      </c>
      <c r="I9" s="1"/>
    </row>
    <row r="10" customFormat="false" ht="17.25" hidden="false" customHeight="false" outlineLevel="0" collapsed="false">
      <c r="A10" s="14" t="s">
        <v>36</v>
      </c>
      <c r="B10" s="15" t="n">
        <v>1.3259</v>
      </c>
      <c r="C10" s="15" t="n">
        <v>0.58841</v>
      </c>
      <c r="D10" s="15" t="n">
        <v>0.29795</v>
      </c>
      <c r="E10" s="16" t="n">
        <f aca="false">F10-G10</f>
        <v>1.03543999999999</v>
      </c>
      <c r="F10" s="16" t="n">
        <f aca="false">G10+B10-C10+D10</f>
        <v>-328.33921</v>
      </c>
      <c r="G10" s="6" t="n">
        <v>-329.37465</v>
      </c>
    </row>
    <row r="11" customFormat="false" ht="17.25" hidden="false" customHeight="false" outlineLevel="0" collapsed="false">
      <c r="A11" s="1" t="s">
        <v>37</v>
      </c>
      <c r="B11" s="9" t="n">
        <v>1.52516</v>
      </c>
      <c r="C11" s="9" t="n">
        <v>0.47271</v>
      </c>
      <c r="D11" s="9" t="n">
        <v>0.21982</v>
      </c>
      <c r="E11" s="4" t="n">
        <f aca="false">F11-G11</f>
        <v>1.27227000000005</v>
      </c>
      <c r="F11" s="4" t="n">
        <f aca="false">G11+B11-C11+D11</f>
        <v>-331.31616</v>
      </c>
      <c r="G11" s="6" t="n">
        <v>-332.58843</v>
      </c>
      <c r="I11" s="1"/>
    </row>
    <row r="12" customFormat="false" ht="17.25" hidden="false" customHeight="false" outlineLevel="0" collapsed="false">
      <c r="A12" s="1" t="s">
        <v>38</v>
      </c>
      <c r="B12" s="9" t="n">
        <v>1.97146</v>
      </c>
      <c r="C12" s="9" t="n">
        <v>0.61518</v>
      </c>
      <c r="D12" s="9" t="n">
        <v>0.30985</v>
      </c>
      <c r="E12" s="4" t="n">
        <f aca="false">F12-G12</f>
        <v>1.66612999999995</v>
      </c>
      <c r="F12" s="4" t="n">
        <f aca="false">G12+B12-C12+D12</f>
        <v>-336.26995</v>
      </c>
      <c r="G12" s="6" t="n">
        <v>-337.93608</v>
      </c>
      <c r="I12" s="1"/>
    </row>
    <row r="13" customFormat="false" ht="17.25" hidden="false" customHeight="false" outlineLevel="0" collapsed="false">
      <c r="A13" s="1" t="s">
        <v>39</v>
      </c>
      <c r="B13" s="1" t="n">
        <v>0.92963</v>
      </c>
      <c r="C13" s="1" t="n">
        <v>0.55086</v>
      </c>
      <c r="D13" s="1" t="n">
        <v>0.288</v>
      </c>
      <c r="E13" s="4" t="n">
        <f aca="false">F13-G13</f>
        <v>0.666769999999985</v>
      </c>
      <c r="F13" s="4" t="n">
        <f aca="false">G13+B13-C13+D13</f>
        <v>-323.93142</v>
      </c>
      <c r="G13" s="11" t="n">
        <v>-324.59819</v>
      </c>
      <c r="I13" s="1"/>
    </row>
    <row r="14" customFormat="false" ht="17.25" hidden="false" customHeight="false" outlineLevel="0" collapsed="false">
      <c r="A14" s="1" t="s">
        <v>40</v>
      </c>
      <c r="B14" s="3" t="n">
        <v>1.01901</v>
      </c>
      <c r="C14" s="3" t="n">
        <v>0.48393</v>
      </c>
      <c r="D14" s="3" t="n">
        <v>0.26552</v>
      </c>
      <c r="E14" s="4" t="n">
        <f aca="false">F14-G14</f>
        <v>0.800599999999974</v>
      </c>
      <c r="F14" s="4" t="n">
        <f aca="false">G14+B14-C14+D14</f>
        <v>-324.39746</v>
      </c>
      <c r="G14" s="6" t="n">
        <v>-325.19806</v>
      </c>
      <c r="I14" s="1"/>
    </row>
    <row r="15" customFormat="false" ht="17.25" hidden="false" customHeight="false" outlineLevel="0" collapsed="false">
      <c r="A15" s="14" t="s">
        <v>41</v>
      </c>
      <c r="B15" s="15" t="n">
        <v>1.27775</v>
      </c>
      <c r="C15" s="15" t="n">
        <v>0.56952</v>
      </c>
      <c r="D15" s="15" t="n">
        <v>0.26239</v>
      </c>
      <c r="E15" s="16" t="n">
        <f aca="false">F15-G15</f>
        <v>0.970619999999997</v>
      </c>
      <c r="F15" s="16" t="n">
        <f aca="false">G15+B15-C15+D15</f>
        <v>-328.32655</v>
      </c>
      <c r="G15" s="13" t="n">
        <v>-329.29717</v>
      </c>
      <c r="I15" s="1"/>
    </row>
    <row r="16" customFormat="false" ht="17.25" hidden="false" customHeight="false" outlineLevel="0" collapsed="false">
      <c r="A16" s="1" t="s">
        <v>42</v>
      </c>
      <c r="B16" s="4" t="n">
        <v>0.98068</v>
      </c>
      <c r="C16" s="4" t="n">
        <v>0.54422</v>
      </c>
      <c r="D16" s="4" t="n">
        <v>0.2804</v>
      </c>
      <c r="E16" s="4" t="n">
        <f aca="false">F16-G16</f>
        <v>0.716859999999997</v>
      </c>
      <c r="F16" s="4" t="n">
        <f aca="false">G16+B16-C16+D16</f>
        <v>-323.75771</v>
      </c>
      <c r="G16" s="8" t="n">
        <v>-324.47457</v>
      </c>
      <c r="I16" s="1"/>
    </row>
    <row r="17" customFormat="false" ht="17.25" hidden="false" customHeight="false" outlineLevel="0" collapsed="false">
      <c r="A17" s="14" t="s">
        <v>43</v>
      </c>
      <c r="B17" s="15" t="n">
        <v>1.28195</v>
      </c>
      <c r="C17" s="15" t="n">
        <v>0.41325</v>
      </c>
      <c r="D17" s="15" t="n">
        <v>0.22084</v>
      </c>
      <c r="E17" s="16" t="n">
        <f aca="false">F17-G17</f>
        <v>1.08954</v>
      </c>
      <c r="F17" s="16" t="n">
        <f aca="false">G17+B17-C17+D17</f>
        <v>-328.33147</v>
      </c>
      <c r="G17" s="6" t="n">
        <v>-329.42101</v>
      </c>
      <c r="I17" s="1"/>
    </row>
    <row r="18" customFormat="false" ht="17.25" hidden="false" customHeight="false" outlineLevel="0" collapsed="false">
      <c r="A18" s="1" t="s">
        <v>44</v>
      </c>
      <c r="B18" s="7" t="n">
        <v>1.5578</v>
      </c>
      <c r="C18" s="7" t="n">
        <v>0.50089</v>
      </c>
      <c r="D18" s="7" t="n">
        <v>0.26203</v>
      </c>
      <c r="E18" s="4" t="n">
        <f aca="false">F18-G18</f>
        <v>1.31893999999994</v>
      </c>
      <c r="F18" s="4" t="n">
        <f aca="false">G18+B18-C18+D18</f>
        <v>-330.66563</v>
      </c>
      <c r="G18" s="6" t="n">
        <v>-331.98457</v>
      </c>
      <c r="I18" s="1"/>
    </row>
    <row r="19" customFormat="false" ht="17.25" hidden="false" customHeight="false" outlineLevel="0" collapsed="false">
      <c r="A19" s="1" t="s">
        <v>45</v>
      </c>
      <c r="B19" s="7" t="n">
        <v>1.88721</v>
      </c>
      <c r="C19" s="7" t="n">
        <v>0.48258</v>
      </c>
      <c r="D19" s="7" t="n">
        <v>0.26072</v>
      </c>
      <c r="E19" s="4" t="n">
        <f aca="false">F19-G19</f>
        <v>1.66534999999999</v>
      </c>
      <c r="F19" s="4" t="n">
        <f aca="false">G19+B19-C19+D19</f>
        <v>-334.57923</v>
      </c>
      <c r="G19" s="8" t="n">
        <v>-336.24458</v>
      </c>
      <c r="I19" s="1"/>
    </row>
    <row r="20" customFormat="false" ht="17.25" hidden="false" customHeight="false" outlineLevel="0" collapsed="false">
      <c r="A20" s="1" t="s">
        <v>46</v>
      </c>
      <c r="B20" s="7" t="n">
        <v>1.40542</v>
      </c>
      <c r="C20" s="7" t="n">
        <v>0.37625</v>
      </c>
      <c r="D20" s="7" t="n">
        <v>0.18732</v>
      </c>
      <c r="E20" s="4" t="n">
        <f aca="false">F20-G20</f>
        <v>1.21648999999996</v>
      </c>
      <c r="F20" s="4" t="n">
        <f aca="false">G20+B20-C20+D20</f>
        <v>-325.28269</v>
      </c>
      <c r="G20" s="8" t="n">
        <v>-326.49918</v>
      </c>
      <c r="I20" s="1"/>
    </row>
    <row r="21" customFormat="false" ht="17.25" hidden="false" customHeight="false" outlineLevel="0" collapsed="false">
      <c r="A21" s="1" t="s">
        <v>47</v>
      </c>
      <c r="B21" s="7" t="n">
        <v>2.0078</v>
      </c>
      <c r="C21" s="7" t="n">
        <v>0.70413</v>
      </c>
      <c r="D21" s="7" t="n">
        <v>0.12092</v>
      </c>
      <c r="E21" s="4" t="n">
        <f aca="false">F21-G21</f>
        <v>1.42459</v>
      </c>
      <c r="F21" s="4" t="n">
        <f aca="false">G21+B21-C21+D21</f>
        <v>-37.256484</v>
      </c>
      <c r="G21" s="8" t="n">
        <v>-38.681074</v>
      </c>
      <c r="I21" s="1"/>
    </row>
    <row r="22" customFormat="false" ht="17.25" hidden="false" customHeight="false" outlineLevel="0" collapsed="false">
      <c r="A22" s="1" t="s">
        <v>17</v>
      </c>
      <c r="B22" s="7" t="n">
        <v>0.17646</v>
      </c>
      <c r="C22" s="7" t="n">
        <v>0.37039</v>
      </c>
      <c r="D22" s="7" t="n">
        <v>0.20441</v>
      </c>
      <c r="E22" s="4" t="n">
        <f aca="false">F22-G22</f>
        <v>0.0104800000000296</v>
      </c>
      <c r="F22" s="4" t="n">
        <f aca="false">G22+B22-C22+D22</f>
        <v>-304.03577</v>
      </c>
      <c r="G22" s="8" t="n">
        <v>-304.04625</v>
      </c>
      <c r="I22" s="1"/>
    </row>
    <row r="23" customFormat="false" ht="17.25" hidden="false" customHeight="false" outlineLevel="0" collapsed="false">
      <c r="A23" s="1" t="s">
        <v>48</v>
      </c>
      <c r="B23" s="9" t="n">
        <v>0.51095</v>
      </c>
      <c r="C23" s="9" t="n">
        <v>0.52654</v>
      </c>
      <c r="D23" s="9" t="n">
        <v>0.28329</v>
      </c>
      <c r="E23" s="4" t="n">
        <f aca="false">F23-G23</f>
        <v>0.267699999999991</v>
      </c>
      <c r="F23" s="4" t="n">
        <f aca="false">G23+B23-C23+D23</f>
        <v>-322.14574</v>
      </c>
      <c r="G23" s="6" t="n">
        <v>-322.41344</v>
      </c>
      <c r="I23" s="1"/>
    </row>
    <row r="24" customFormat="false" ht="17.25" hidden="false" customHeight="false" outlineLevel="0" collapsed="false">
      <c r="A24" s="1" t="s">
        <v>18</v>
      </c>
      <c r="B24" s="7" t="n">
        <v>0.4527</v>
      </c>
      <c r="C24" s="7" t="n">
        <v>0.40479</v>
      </c>
      <c r="D24" s="7" t="n">
        <v>0.22395</v>
      </c>
      <c r="E24" s="4" t="n">
        <f aca="false">F24-G24</f>
        <v>0.271860000000004</v>
      </c>
      <c r="F24" s="5" t="n">
        <f aca="false">G24+B24-C24+D24</f>
        <v>-306.96526</v>
      </c>
      <c r="G24" s="8" t="n">
        <v>-307.23712</v>
      </c>
      <c r="I24" s="1"/>
    </row>
    <row r="25" customFormat="false" ht="17.25" hidden="false" customHeight="false" outlineLevel="0" collapsed="false">
      <c r="A25" s="1" t="s">
        <v>21</v>
      </c>
      <c r="B25" s="7" t="n">
        <v>0.57647</v>
      </c>
      <c r="C25" s="7" t="n">
        <v>0.5832</v>
      </c>
      <c r="D25" s="7" t="n">
        <v>0.10285</v>
      </c>
      <c r="E25" s="4" t="n">
        <f aca="false">F25-G25</f>
        <v>0.0961200000000009</v>
      </c>
      <c r="F25" s="5" t="n">
        <f aca="false">G25+B25-C25+D25</f>
        <v>-12.716362</v>
      </c>
      <c r="G25" s="8" t="n">
        <v>-12.812482</v>
      </c>
      <c r="I25" s="1"/>
    </row>
    <row r="26" customFormat="false" ht="17.25" hidden="false" customHeight="false" outlineLevel="0" collapsed="false">
      <c r="A26" s="1" t="s">
        <v>22</v>
      </c>
      <c r="B26" s="7" t="n">
        <v>0.27754</v>
      </c>
      <c r="C26" s="7" t="n">
        <v>0.41985</v>
      </c>
      <c r="D26" s="7" t="n">
        <v>0.08992</v>
      </c>
      <c r="E26" s="4" t="n">
        <f aca="false">F26-G26</f>
        <v>-0.0523899999999999</v>
      </c>
      <c r="F26" s="5" t="n">
        <f aca="false">G26+B26-C26+D26</f>
        <v>-7.2050261</v>
      </c>
      <c r="G26" s="8" t="n">
        <v>-7.1526361</v>
      </c>
      <c r="I26" s="1"/>
    </row>
    <row r="27" customFormat="false" ht="17.25" hidden="false" customHeight="false" outlineLevel="0" collapsed="false">
      <c r="A27" s="1" t="s">
        <v>23</v>
      </c>
      <c r="F27" s="5" t="n">
        <f aca="false">F26/2</f>
        <v>-3.60251305</v>
      </c>
      <c r="H27" s="1" t="s">
        <v>24</v>
      </c>
    </row>
    <row r="28" customFormat="false" ht="17.25" hidden="false" customHeight="false" outlineLevel="0" collapsed="false">
      <c r="A28" s="1" t="s">
        <v>25</v>
      </c>
      <c r="B28" s="10" t="n">
        <v>0.02502</v>
      </c>
      <c r="C28" s="10" t="n">
        <v>0.13795</v>
      </c>
      <c r="D28" s="10" t="n">
        <v>0.08048</v>
      </c>
      <c r="E28" s="4" t="n">
        <f aca="false">F28-G28</f>
        <v>-0.032449999999983</v>
      </c>
      <c r="F28" s="5" t="n">
        <f aca="false">G28+B28-C28+D28</f>
        <v>-296.99151</v>
      </c>
      <c r="G28" s="6" t="n">
        <v>-296.95906</v>
      </c>
      <c r="H28" s="1" t="s">
        <v>26</v>
      </c>
    </row>
    <row r="29" customFormat="false" ht="17.25" hidden="false" customHeight="false" outlineLevel="0" collapsed="false">
      <c r="A29" s="1" t="s">
        <v>27</v>
      </c>
      <c r="B29" s="1" t="n">
        <v>0.13168</v>
      </c>
      <c r="C29" s="1" t="n">
        <v>0.59311</v>
      </c>
      <c r="D29" s="1" t="n">
        <v>0.08993</v>
      </c>
      <c r="E29" s="4" t="n">
        <f aca="false">F29-G29</f>
        <v>-0.371499999999999</v>
      </c>
      <c r="F29" s="5" t="n">
        <f aca="false">G29+B29-C29+D29</f>
        <v>-12.446363</v>
      </c>
      <c r="G29" s="11" t="n">
        <v>-12.074863</v>
      </c>
    </row>
    <row r="30" customFormat="false" ht="17.25" hidden="false" customHeight="false" outlineLevel="0" collapsed="false">
      <c r="B30" s="3"/>
      <c r="C30" s="3"/>
      <c r="D30" s="3"/>
      <c r="E30" s="4"/>
      <c r="F30" s="5"/>
      <c r="G30" s="6"/>
    </row>
    <row r="31" customFormat="false" ht="17.25" hidden="false" customHeight="false" outlineLevel="0" collapsed="false">
      <c r="E31" s="4"/>
      <c r="F31" s="5"/>
      <c r="G31" s="11"/>
    </row>
    <row r="32" customFormat="false" ht="17.25" hidden="false" customHeight="false" outlineLevel="0" collapsed="false">
      <c r="B32" s="7"/>
      <c r="C32" s="7"/>
      <c r="D32" s="7"/>
      <c r="E32" s="4"/>
      <c r="F32" s="5"/>
      <c r="G32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3" activeCellId="0" sqref="B13"/>
    </sheetView>
  </sheetViews>
  <sheetFormatPr defaultColWidth="8.375" defaultRowHeight="17.25" zeroHeight="false" outlineLevelRow="0" outlineLevelCol="0"/>
  <cols>
    <col collapsed="false" customWidth="true" hidden="false" outlineLevel="0" max="1" min="1" style="1" width="15.69"/>
    <col collapsed="false" customWidth="true" hidden="false" outlineLevel="0" max="6" min="2" style="1" width="12.7"/>
    <col collapsed="false" customWidth="true" hidden="false" outlineLevel="0" max="7" min="7" style="1" width="13.5"/>
    <col collapsed="false" customWidth="true" hidden="false" outlineLevel="0" max="8" min="8" style="1" width="13.8"/>
  </cols>
  <sheetData>
    <row r="1" customFormat="false" ht="17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7.25" hidden="false" customHeight="false" outlineLevel="0" collapsed="false">
      <c r="A2" s="1" t="s">
        <v>49</v>
      </c>
      <c r="B2" s="4" t="n">
        <v>1.92422</v>
      </c>
      <c r="C2" s="4" t="n">
        <v>0.39395</v>
      </c>
      <c r="D2" s="4" t="n">
        <v>0.20077</v>
      </c>
      <c r="E2" s="4" t="n">
        <f aca="false">F2-G2</f>
        <v>1.73103999999995</v>
      </c>
      <c r="F2" s="4" t="n">
        <f aca="false">G2+B2-C2+D2</f>
        <v>-343.31152</v>
      </c>
      <c r="G2" s="4" t="n">
        <v>-345.04256</v>
      </c>
    </row>
    <row r="3" customFormat="false" ht="17.25" hidden="false" customHeight="false" outlineLevel="0" collapsed="false">
      <c r="A3" s="1" t="s">
        <v>50</v>
      </c>
      <c r="B3" s="4" t="n">
        <v>1.99403</v>
      </c>
      <c r="C3" s="4" t="n">
        <v>0.32744</v>
      </c>
      <c r="D3" s="4" t="n">
        <v>0.17489</v>
      </c>
      <c r="E3" s="4" t="n">
        <f aca="false">F3-G3</f>
        <v>1.84147999999999</v>
      </c>
      <c r="F3" s="4" t="n">
        <f aca="false">G3+B3-C3+D3</f>
        <v>-343.11542</v>
      </c>
      <c r="G3" s="4" t="n">
        <v>-344.9569</v>
      </c>
    </row>
    <row r="4" customFormat="false" ht="17.25" hidden="false" customHeight="false" outlineLevel="0" collapsed="false">
      <c r="A4" s="1" t="s">
        <v>51</v>
      </c>
      <c r="B4" s="4" t="n">
        <v>2.26773</v>
      </c>
      <c r="C4" s="4" t="n">
        <v>0.3702</v>
      </c>
      <c r="D4" s="4" t="n">
        <v>0.19404</v>
      </c>
      <c r="E4" s="4" t="n">
        <f aca="false">F4-G4</f>
        <v>2.09156999999993</v>
      </c>
      <c r="F4" s="4" t="n">
        <f aca="false">G4+B4-C4+D4</f>
        <v>-345.39715</v>
      </c>
      <c r="G4" s="4" t="n">
        <v>-347.48872</v>
      </c>
    </row>
    <row r="5" customFormat="false" ht="17.25" hidden="false" customHeight="false" outlineLevel="0" collapsed="false">
      <c r="A5" s="1" t="s">
        <v>52</v>
      </c>
      <c r="B5" s="4" t="n">
        <v>2.14829</v>
      </c>
      <c r="C5" s="4" t="n">
        <v>0.34656</v>
      </c>
      <c r="D5" s="4" t="n">
        <v>0.16846</v>
      </c>
      <c r="E5" s="4" t="n">
        <f aca="false">F5-G5</f>
        <v>1.97018999999995</v>
      </c>
      <c r="F5" s="4" t="n">
        <f aca="false">G5+B5-C5+D5</f>
        <v>-340.0548</v>
      </c>
      <c r="G5" s="4" t="n">
        <v>-342.02499</v>
      </c>
    </row>
    <row r="6" customFormat="false" ht="17.25" hidden="false" customHeight="false" outlineLevel="0" collapsed="false">
      <c r="A6" s="1" t="s">
        <v>53</v>
      </c>
      <c r="B6" s="4" t="n">
        <v>2.46082</v>
      </c>
      <c r="C6" s="4" t="n">
        <v>0.29051</v>
      </c>
      <c r="D6" s="4" t="n">
        <v>0.15466</v>
      </c>
      <c r="E6" s="4" t="n">
        <f aca="false">F6-G6</f>
        <v>2.32497000000001</v>
      </c>
      <c r="F6" s="4" t="n">
        <f aca="false">G6+B6-C6+D6</f>
        <v>-344.06777</v>
      </c>
      <c r="G6" s="4" t="n">
        <v>-346.39274</v>
      </c>
    </row>
    <row r="7" customFormat="false" ht="17.25" hidden="false" customHeight="false" outlineLevel="0" collapsed="false">
      <c r="A7" s="1" t="s">
        <v>54</v>
      </c>
      <c r="B7" s="4" t="n">
        <v>2.58756</v>
      </c>
      <c r="C7" s="4" t="n">
        <v>0.36105</v>
      </c>
      <c r="D7" s="4" t="n">
        <v>0.19761</v>
      </c>
      <c r="E7" s="4" t="n">
        <f aca="false">F7-G7</f>
        <v>2.42412000000002</v>
      </c>
      <c r="F7" s="4" t="n">
        <f aca="false">G7+B7-C7+D7</f>
        <v>-349.29948</v>
      </c>
      <c r="G7" s="4" t="n">
        <v>-351.7236</v>
      </c>
    </row>
    <row r="8" customFormat="false" ht="17.25" hidden="false" customHeight="false" outlineLevel="0" collapsed="false">
      <c r="A8" s="1" t="s">
        <v>55</v>
      </c>
      <c r="B8" s="4" t="n">
        <v>2.7776</v>
      </c>
      <c r="C8" s="4" t="n">
        <v>0.8308</v>
      </c>
      <c r="D8" s="4" t="n">
        <v>0.14971</v>
      </c>
      <c r="E8" s="4" t="n">
        <f aca="false">F8-G8</f>
        <v>2.09651</v>
      </c>
      <c r="F8" s="4" t="n">
        <f aca="false">G8+B8-C8+D8</f>
        <v>-52.054387</v>
      </c>
      <c r="G8" s="4" t="n">
        <v>-54.150897</v>
      </c>
    </row>
    <row r="9" customFormat="false" ht="17.25" hidden="false" customHeight="false" outlineLevel="0" collapsed="false">
      <c r="A9" s="1" t="s">
        <v>56</v>
      </c>
      <c r="B9" s="4" t="n">
        <v>2.34745</v>
      </c>
      <c r="C9" s="4" t="n">
        <v>0.27696</v>
      </c>
      <c r="D9" s="4" t="n">
        <v>0.15952</v>
      </c>
      <c r="E9" s="4" t="n">
        <f aca="false">F9-G9</f>
        <v>2.23000999999999</v>
      </c>
      <c r="F9" s="4" t="n">
        <f aca="false">G9+B9-C9+D9</f>
        <v>-344.16264</v>
      </c>
      <c r="G9" s="4" t="n">
        <v>-346.39265</v>
      </c>
    </row>
    <row r="11" customFormat="false" ht="17.25" hidden="false" customHeight="false" outlineLevel="0" collapsed="false">
      <c r="A11" s="1" t="s">
        <v>18</v>
      </c>
      <c r="B11" s="7" t="n">
        <v>0.4527</v>
      </c>
      <c r="C11" s="7" t="n">
        <v>0.40479</v>
      </c>
      <c r="D11" s="7" t="n">
        <v>0.22395</v>
      </c>
      <c r="E11" s="4" t="n">
        <f aca="false">F11-G11</f>
        <v>0.271860000000004</v>
      </c>
      <c r="F11" s="5" t="n">
        <f aca="false">G11+B11-C11+D11</f>
        <v>-306.96526</v>
      </c>
      <c r="G11" s="8" t="n">
        <v>-307.23712</v>
      </c>
    </row>
    <row r="12" customFormat="false" ht="17.25" hidden="false" customHeight="false" outlineLevel="0" collapsed="false">
      <c r="A12" s="1" t="s">
        <v>21</v>
      </c>
      <c r="B12" s="7" t="n">
        <v>0.57647</v>
      </c>
      <c r="C12" s="7" t="n">
        <v>0.5832</v>
      </c>
      <c r="D12" s="7" t="n">
        <v>0.10285</v>
      </c>
      <c r="E12" s="4" t="n">
        <f aca="false">F12-G12</f>
        <v>0.0961200000000009</v>
      </c>
      <c r="F12" s="5" t="n">
        <f aca="false">G12+B12-C12+D12</f>
        <v>-12.716362</v>
      </c>
      <c r="G12" s="8" t="n">
        <v>-12.812482</v>
      </c>
    </row>
    <row r="13" customFormat="false" ht="17.25" hidden="false" customHeight="false" outlineLevel="0" collapsed="false">
      <c r="A13" s="1" t="s">
        <v>22</v>
      </c>
      <c r="B13" s="7" t="n">
        <v>0.27754</v>
      </c>
      <c r="C13" s="7" t="n">
        <v>0.41985</v>
      </c>
      <c r="D13" s="7" t="n">
        <v>0.08992</v>
      </c>
      <c r="E13" s="4" t="n">
        <f aca="false">F13-G13</f>
        <v>-0.0523899999999999</v>
      </c>
      <c r="F13" s="5" t="n">
        <f aca="false">G13+B13-C13+D13</f>
        <v>-7.2050261</v>
      </c>
      <c r="G13" s="8" t="n">
        <v>-7.1526361</v>
      </c>
    </row>
    <row r="14" customFormat="false" ht="17.25" hidden="false" customHeight="false" outlineLevel="0" collapsed="false">
      <c r="A14" s="1" t="s">
        <v>23</v>
      </c>
      <c r="F14" s="5" t="n">
        <f aca="false">F13/2</f>
        <v>-3.60251305</v>
      </c>
      <c r="H14" s="1" t="s">
        <v>24</v>
      </c>
    </row>
    <row r="15" customFormat="false" ht="17.25" hidden="false" customHeight="false" outlineLevel="0" collapsed="false">
      <c r="A15" s="1" t="s">
        <v>25</v>
      </c>
      <c r="B15" s="10" t="n">
        <v>0.02502</v>
      </c>
      <c r="C15" s="10" t="n">
        <v>0.13795</v>
      </c>
      <c r="D15" s="10" t="n">
        <v>0.08048</v>
      </c>
      <c r="E15" s="4" t="n">
        <f aca="false">F15-G15</f>
        <v>-0.032449999999983</v>
      </c>
      <c r="F15" s="5" t="n">
        <f aca="false">G15+B15-C15+D15</f>
        <v>-296.99151</v>
      </c>
      <c r="G15" s="6" t="n">
        <v>-296.95906</v>
      </c>
      <c r="H15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K21" activeCellId="0" sqref="K21"/>
    </sheetView>
  </sheetViews>
  <sheetFormatPr defaultColWidth="10.265625" defaultRowHeight="17.25" zeroHeight="false" outlineLevelRow="0" outlineLevelCol="0"/>
  <cols>
    <col collapsed="false" customWidth="true" hidden="false" outlineLevel="0" max="2" min="2" style="1" width="21.4"/>
    <col collapsed="false" customWidth="true" hidden="false" outlineLevel="0" max="7" min="7" style="1" width="16.39"/>
    <col collapsed="false" customWidth="true" hidden="false" outlineLevel="0" max="8" min="8" style="1" width="16.23"/>
  </cols>
  <sheetData>
    <row r="1" customFormat="false" ht="17.2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7.25" hidden="false" customHeight="false" outlineLevel="0" collapsed="false">
      <c r="A2" s="1" t="s">
        <v>57</v>
      </c>
      <c r="B2" s="1" t="s">
        <v>58</v>
      </c>
      <c r="C2" s="4" t="n">
        <v>3.49028</v>
      </c>
      <c r="D2" s="4" t="n">
        <v>0.83859</v>
      </c>
      <c r="E2" s="4" t="n">
        <v>0.12487</v>
      </c>
      <c r="F2" s="4" t="n">
        <f aca="false">G2-H2</f>
        <v>2.77656</v>
      </c>
      <c r="G2" s="4" t="n">
        <f aca="false">H2+C2-D2+E2</f>
        <v>-66.842657</v>
      </c>
      <c r="H2" s="4" t="n">
        <v>-69.619217</v>
      </c>
      <c r="I2" s="4"/>
    </row>
    <row r="3" customFormat="false" ht="17.25" hidden="false" customHeight="false" outlineLevel="0" collapsed="false">
      <c r="B3" s="1" t="s">
        <v>59</v>
      </c>
      <c r="C3" s="4" t="n">
        <v>3.10537</v>
      </c>
      <c r="D3" s="4" t="n">
        <v>0.37942</v>
      </c>
      <c r="E3" s="4" t="n">
        <v>0.19909</v>
      </c>
      <c r="F3" s="4" t="n">
        <f aca="false">G3-H3</f>
        <v>2.92504000000002</v>
      </c>
      <c r="G3" s="4" t="n">
        <f aca="false">H3+C3-D3+E3</f>
        <v>-358.97178</v>
      </c>
      <c r="H3" s="4" t="n">
        <v>-361.89682</v>
      </c>
      <c r="I3" s="4"/>
    </row>
    <row r="4" customFormat="false" ht="17.25" hidden="false" customHeight="false" outlineLevel="0" collapsed="false">
      <c r="B4" s="1" t="s">
        <v>60</v>
      </c>
      <c r="C4" s="4" t="n">
        <v>3.22337</v>
      </c>
      <c r="D4" s="4" t="n">
        <v>0.39171</v>
      </c>
      <c r="E4" s="4" t="n">
        <v>0.19366</v>
      </c>
      <c r="F4" s="4" t="n">
        <f aca="false">G4-H4</f>
        <v>3.02532000000002</v>
      </c>
      <c r="G4" s="4" t="n">
        <f aca="false">H4+C4-D4+E4</f>
        <v>-358.86468</v>
      </c>
      <c r="H4" s="4" t="n">
        <v>-361.89</v>
      </c>
      <c r="I4" s="4"/>
    </row>
    <row r="5" customFormat="false" ht="17.25" hidden="false" customHeight="false" outlineLevel="0" collapsed="false">
      <c r="A5" s="1" t="s">
        <v>61</v>
      </c>
      <c r="B5" s="1" t="s">
        <v>62</v>
      </c>
      <c r="C5" s="4" t="n">
        <v>4.26961</v>
      </c>
      <c r="D5" s="4" t="n">
        <v>0.90727</v>
      </c>
      <c r="E5" s="4" t="n">
        <v>0.15073</v>
      </c>
      <c r="F5" s="4" t="n">
        <f aca="false">G5-H5</f>
        <v>3.51307</v>
      </c>
      <c r="G5" s="4" t="n">
        <f aca="false">H5+C5-D5+E5</f>
        <v>-81.573411</v>
      </c>
      <c r="H5" s="4" t="n">
        <v>-85.086481</v>
      </c>
      <c r="I5" s="4"/>
    </row>
    <row r="6" customFormat="false" ht="17.25" hidden="false" customHeight="false" outlineLevel="0" collapsed="false">
      <c r="B6" s="1" t="s">
        <v>63</v>
      </c>
      <c r="C6" s="4" t="n">
        <v>3.86796</v>
      </c>
      <c r="D6" s="4" t="n">
        <v>0.46742</v>
      </c>
      <c r="E6" s="4" t="n">
        <v>0.23622</v>
      </c>
      <c r="F6" s="4" t="n">
        <f aca="false">G6-H6</f>
        <v>3.63675999999998</v>
      </c>
      <c r="G6" s="4" t="n">
        <f aca="false">H6+C6-D6+E6</f>
        <v>-373.6423</v>
      </c>
      <c r="H6" s="4" t="n">
        <v>-377.27906</v>
      </c>
      <c r="I6" s="4"/>
    </row>
    <row r="7" customFormat="false" ht="17.25" hidden="false" customHeight="false" outlineLevel="0" collapsed="false">
      <c r="B7" s="1" t="s">
        <v>64</v>
      </c>
      <c r="C7" s="4" t="n">
        <v>3.98108</v>
      </c>
      <c r="D7" s="4" t="n">
        <v>0.52644</v>
      </c>
      <c r="E7" s="4" t="n">
        <v>0.24989</v>
      </c>
      <c r="F7" s="4" t="n">
        <f aca="false">G7-H7</f>
        <v>3.70453000000003</v>
      </c>
      <c r="G7" s="4" t="n">
        <f aca="false">H7+C7-D7+E7</f>
        <v>-373.58567</v>
      </c>
      <c r="H7" s="4" t="n">
        <v>-377.2902</v>
      </c>
      <c r="I7" s="4"/>
    </row>
    <row r="8" customFormat="false" ht="17.25" hidden="false" customHeight="false" outlineLevel="0" collapsed="false">
      <c r="A8" s="1" t="s">
        <v>65</v>
      </c>
      <c r="B8" s="1" t="s">
        <v>66</v>
      </c>
      <c r="C8" s="4" t="n">
        <v>5.02922</v>
      </c>
      <c r="D8" s="4" t="n">
        <v>0.95132</v>
      </c>
      <c r="E8" s="4" t="n">
        <v>0.16509</v>
      </c>
      <c r="F8" s="4" t="n">
        <f aca="false">G8-H8</f>
        <v>4.24299000000001</v>
      </c>
      <c r="G8" s="4" t="n">
        <f aca="false">H8+C8-D8+E8</f>
        <v>-96.31071</v>
      </c>
      <c r="H8" s="4" t="n">
        <v>-100.5537</v>
      </c>
      <c r="I8" s="4"/>
    </row>
    <row r="9" customFormat="false" ht="17.25" hidden="false" customHeight="false" outlineLevel="0" collapsed="false">
      <c r="B9" s="1" t="s">
        <v>67</v>
      </c>
      <c r="C9" s="4" t="n">
        <v>4.63247</v>
      </c>
      <c r="D9" s="4" t="n">
        <v>0.52623</v>
      </c>
      <c r="E9" s="4" t="n">
        <v>0.2688</v>
      </c>
      <c r="F9" s="4" t="n">
        <f aca="false">G9-H9</f>
        <v>4.37504000000001</v>
      </c>
      <c r="G9" s="4" t="n">
        <f aca="false">H9+C9-D9+E9</f>
        <v>-388.52933</v>
      </c>
      <c r="H9" s="4" t="n">
        <v>-392.90437</v>
      </c>
      <c r="I9" s="4"/>
    </row>
    <row r="10" customFormat="false" ht="17.25" hidden="false" customHeight="false" outlineLevel="0" collapsed="false">
      <c r="B10" s="1" t="s">
        <v>68</v>
      </c>
      <c r="C10" s="4" t="n">
        <v>4.75024</v>
      </c>
      <c r="D10" s="4" t="n">
        <v>0.64306</v>
      </c>
      <c r="E10" s="4" t="n">
        <v>0.29042</v>
      </c>
      <c r="F10" s="4" t="n">
        <f aca="false">G10-H10</f>
        <v>4.39760000000001</v>
      </c>
      <c r="G10" s="4" t="n">
        <f aca="false">H10+C10-D10+E10</f>
        <v>-388.45005</v>
      </c>
      <c r="H10" s="4" t="n">
        <v>-392.84765</v>
      </c>
      <c r="I10" s="4"/>
    </row>
    <row r="11" customFormat="false" ht="17.25" hidden="false" customHeight="false" outlineLevel="0" collapsed="false">
      <c r="A11" s="1" t="s">
        <v>69</v>
      </c>
      <c r="B11" s="1" t="s">
        <v>70</v>
      </c>
      <c r="C11" s="4" t="n">
        <v>5.82244</v>
      </c>
      <c r="D11" s="4" t="n">
        <v>1.09042</v>
      </c>
      <c r="E11" s="4" t="n">
        <v>0.22982</v>
      </c>
      <c r="F11" s="4" t="n">
        <f aca="false">G11-H11</f>
        <v>4.96184000000001</v>
      </c>
      <c r="G11" s="4" t="n">
        <f aca="false">H11+C11-D11+E11</f>
        <v>-111.05987</v>
      </c>
      <c r="H11" s="4" t="n">
        <v>-116.02171</v>
      </c>
      <c r="I11" s="4"/>
      <c r="J11" s="4"/>
    </row>
    <row r="12" customFormat="false" ht="17.25" hidden="false" customHeight="false" outlineLevel="0" collapsed="false">
      <c r="B12" s="1" t="s">
        <v>71</v>
      </c>
      <c r="C12" s="4" t="n">
        <v>5.39732</v>
      </c>
      <c r="D12" s="4" t="n">
        <v>0.63804</v>
      </c>
      <c r="E12" s="4" t="n">
        <v>0.31023</v>
      </c>
      <c r="F12" s="4" t="n">
        <f aca="false">G12-H12</f>
        <v>5.06950999999998</v>
      </c>
      <c r="G12" s="4" t="n">
        <f aca="false">H12+C12-D12+E12</f>
        <v>-403.26213</v>
      </c>
      <c r="H12" s="4" t="n">
        <v>-408.33164</v>
      </c>
      <c r="I12" s="4"/>
    </row>
    <row r="13" customFormat="false" ht="17.25" hidden="false" customHeight="false" outlineLevel="0" collapsed="false">
      <c r="B13" s="1" t="s">
        <v>72</v>
      </c>
      <c r="C13" s="4" t="n">
        <v>5.51128</v>
      </c>
      <c r="D13" s="4" t="n">
        <v>0.64421</v>
      </c>
      <c r="E13" s="4" t="n">
        <v>0.3044</v>
      </c>
      <c r="F13" s="4" t="n">
        <f aca="false">G13-H13</f>
        <v>5.17147</v>
      </c>
      <c r="G13" s="4" t="n">
        <f aca="false">H13+C13-D13+E13</f>
        <v>-403.10797</v>
      </c>
      <c r="H13" s="4" t="n">
        <v>-408.27944</v>
      </c>
      <c r="I13" s="4"/>
    </row>
    <row r="15" customFormat="false" ht="17.25" hidden="false" customHeight="false" outlineLevel="0" collapsed="false">
      <c r="C15" s="17"/>
      <c r="D15" s="17"/>
      <c r="E15" s="17"/>
      <c r="G15" s="5"/>
      <c r="H15" s="5"/>
    </row>
    <row r="16" customFormat="false" ht="17.25" hidden="false" customHeight="false" outlineLevel="0" collapsed="false">
      <c r="B16" s="1" t="s">
        <v>22</v>
      </c>
      <c r="C16" s="7" t="n">
        <v>0.27754</v>
      </c>
      <c r="D16" s="7" t="n">
        <v>0.41985</v>
      </c>
      <c r="E16" s="7" t="n">
        <v>0.08992</v>
      </c>
      <c r="F16" s="4" t="n">
        <f aca="false">G16-H16</f>
        <v>-0.0523899999999999</v>
      </c>
      <c r="G16" s="5" t="n">
        <f aca="false">H16+C16-D16+E16</f>
        <v>-7.2050261</v>
      </c>
      <c r="H16" s="8" t="n">
        <v>-7.1526361</v>
      </c>
    </row>
    <row r="17" customFormat="false" ht="17.25" hidden="false" customHeight="false" outlineLevel="0" collapsed="false">
      <c r="B17" s="1" t="s">
        <v>23</v>
      </c>
      <c r="C17" s="1"/>
      <c r="D17" s="1"/>
      <c r="E17" s="1"/>
      <c r="F17" s="1"/>
      <c r="G17" s="5" t="n">
        <f aca="false">G16/2</f>
        <v>-3.60251305</v>
      </c>
      <c r="I17" s="1" t="s">
        <v>24</v>
      </c>
    </row>
    <row r="18" customFormat="false" ht="17.25" hidden="false" customHeight="false" outlineLevel="0" collapsed="false">
      <c r="B18" s="1" t="s">
        <v>25</v>
      </c>
      <c r="C18" s="10" t="n">
        <v>0.02502</v>
      </c>
      <c r="D18" s="10" t="n">
        <v>0.13795</v>
      </c>
      <c r="E18" s="10" t="n">
        <v>0.08048</v>
      </c>
      <c r="F18" s="1" t="n">
        <f aca="false">G18-H18</f>
        <v>-0.032449999999983</v>
      </c>
      <c r="G18" s="5" t="n">
        <f aca="false">H18+C18-D18+E18</f>
        <v>-296.99151</v>
      </c>
      <c r="H18" s="6" t="n">
        <v>-296.95906</v>
      </c>
      <c r="I18" s="1" t="s">
        <v>26</v>
      </c>
    </row>
    <row r="19" customFormat="false" ht="17.25" hidden="false" customHeight="false" outlineLevel="0" collapsed="false">
      <c r="C19" s="1"/>
      <c r="D19" s="1"/>
      <c r="E19" s="1"/>
      <c r="F19" s="1"/>
      <c r="G19" s="5"/>
      <c r="H19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19388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GiBeom Sim</dc:creator>
  <dc:description/>
  <dc:language>en-US</dc:language>
  <cp:lastModifiedBy/>
  <dcterms:modified xsi:type="dcterms:W3CDTF">2026-01-27T11:44:41Z</dcterms:modified>
  <cp:revision>121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